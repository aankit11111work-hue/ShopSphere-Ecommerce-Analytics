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nkit\PycharmProjects\Ecommerce_Project\"/>
    </mc:Choice>
  </mc:AlternateContent>
  <bookViews>
    <workbookView xWindow="0" yWindow="0" windowWidth="23016" windowHeight="9168" activeTab="3"/>
  </bookViews>
  <sheets>
    <sheet name="Product_Data" sheetId="1" r:id="rId1"/>
    <sheet name="Category_Summary" sheetId="2" r:id="rId2"/>
    <sheet name="Product_Performance" sheetId="3" r:id="rId3"/>
    <sheet name="Insights" sheetId="6" r:id="rId4"/>
  </sheets>
  <definedNames>
    <definedName name="Slicer_Category">#N/A</definedName>
  </definedNames>
  <calcPr calcId="162913"/>
  <pivotCaches>
    <pivotCache cacheId="2" r:id="rId5"/>
    <pivotCache cacheId="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1" i="1" l="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<sst xmlns="http://schemas.openxmlformats.org/spreadsheetml/2006/main" count="358" uniqueCount="234">
  <si>
    <t>Product_ID</t>
  </si>
  <si>
    <t>Product_Name</t>
  </si>
  <si>
    <t>Category</t>
  </si>
  <si>
    <t>Quantity_Ordered</t>
  </si>
  <si>
    <t>Quantity_Returned</t>
  </si>
  <si>
    <t>Quantity_Sold</t>
  </si>
  <si>
    <t>Net_Sales</t>
  </si>
  <si>
    <t>Total_Cost_Price</t>
  </si>
  <si>
    <t>Total_Return_Cost</t>
  </si>
  <si>
    <t>Profit</t>
  </si>
  <si>
    <t>P001</t>
  </si>
  <si>
    <t>Fiction Novel 001</t>
  </si>
  <si>
    <t>Books</t>
  </si>
  <si>
    <t>P002</t>
  </si>
  <si>
    <t>Cotton T-Shirt 002</t>
  </si>
  <si>
    <t>Clothing</t>
  </si>
  <si>
    <t>P003</t>
  </si>
  <si>
    <t>Smart Watch 003</t>
  </si>
  <si>
    <t>Accessories</t>
  </si>
  <si>
    <t>P004</t>
  </si>
  <si>
    <t>Cotton T-Shirt 004</t>
  </si>
  <si>
    <t>P005</t>
  </si>
  <si>
    <t>Python Programming Book 005</t>
  </si>
  <si>
    <t>P006</t>
  </si>
  <si>
    <t>Formal Shirt 006</t>
  </si>
  <si>
    <t>P007</t>
  </si>
  <si>
    <t>Storage Cabinet 007</t>
  </si>
  <si>
    <t>Furniture</t>
  </si>
  <si>
    <t>P008</t>
  </si>
  <si>
    <t>Wireless Earbuds 008</t>
  </si>
  <si>
    <t>Electronics</t>
  </si>
  <si>
    <t>P009</t>
  </si>
  <si>
    <t>Belt 009</t>
  </si>
  <si>
    <t>P010</t>
  </si>
  <si>
    <t>Formal Shirt 010</t>
  </si>
  <si>
    <t>P011</t>
  </si>
  <si>
    <t>Polo Shirt 011</t>
  </si>
  <si>
    <t>P012</t>
  </si>
  <si>
    <t>Office Chair 012</t>
  </si>
  <si>
    <t>P013</t>
  </si>
  <si>
    <t>Wireless Earbuds 013</t>
  </si>
  <si>
    <t>P014</t>
  </si>
  <si>
    <t>Denim Jeans 014</t>
  </si>
  <si>
    <t>P015</t>
  </si>
  <si>
    <t>Leather Wallet 015</t>
  </si>
  <si>
    <t>P016</t>
  </si>
  <si>
    <t>Desk 016</t>
  </si>
  <si>
    <t>P017</t>
  </si>
  <si>
    <t>Smartphone 017</t>
  </si>
  <si>
    <t>P018</t>
  </si>
  <si>
    <t>Denim Jeans 018</t>
  </si>
  <si>
    <t>P019</t>
  </si>
  <si>
    <t>Formal Shoes 019</t>
  </si>
  <si>
    <t>Shoes</t>
  </si>
  <si>
    <t>P020</t>
  </si>
  <si>
    <t>Study Table 020</t>
  </si>
  <si>
    <t>P021</t>
  </si>
  <si>
    <t>Business Strategy Book 021</t>
  </si>
  <si>
    <t>P022</t>
  </si>
  <si>
    <t>Laptop 022</t>
  </si>
  <si>
    <t>P023</t>
  </si>
  <si>
    <t>Bookshelf 023</t>
  </si>
  <si>
    <t>P024</t>
  </si>
  <si>
    <t>Sandals 024</t>
  </si>
  <si>
    <t>P025</t>
  </si>
  <si>
    <t>Business Strategy Book 025</t>
  </si>
  <si>
    <t>P026</t>
  </si>
  <si>
    <t>Leather Wallet 026</t>
  </si>
  <si>
    <t>P027</t>
  </si>
  <si>
    <t>Winter Jacket 027</t>
  </si>
  <si>
    <t>P028</t>
  </si>
  <si>
    <t>Storage Cabinet 028</t>
  </si>
  <si>
    <t>P029</t>
  </si>
  <si>
    <t>Management Book 029</t>
  </si>
  <si>
    <t>P030</t>
  </si>
  <si>
    <t>Bookshelf 030</t>
  </si>
  <si>
    <t>P031</t>
  </si>
  <si>
    <t>Business Strategy Book 031</t>
  </si>
  <si>
    <t>P032</t>
  </si>
  <si>
    <t>Running Shoes 032</t>
  </si>
  <si>
    <t>P033</t>
  </si>
  <si>
    <t>Smartphone 033</t>
  </si>
  <si>
    <t>P034</t>
  </si>
  <si>
    <t xml:space="preserve"> Smartphone 034 </t>
  </si>
  <si>
    <t>P035</t>
  </si>
  <si>
    <t>Polo Shirt 035</t>
  </si>
  <si>
    <t>P036</t>
  </si>
  <si>
    <t>Running Shoes 036</t>
  </si>
  <si>
    <t>P037</t>
  </si>
  <si>
    <t>Laptop 037</t>
  </si>
  <si>
    <t>P038</t>
  </si>
  <si>
    <t>Smart Watch 038</t>
  </si>
  <si>
    <t>P039</t>
  </si>
  <si>
    <t>Study Table 039</t>
  </si>
  <si>
    <t>P040</t>
  </si>
  <si>
    <t>Cotton T-Shirt 040</t>
  </si>
  <si>
    <t>P041</t>
  </si>
  <si>
    <t>Sandals 041</t>
  </si>
  <si>
    <t>P042</t>
  </si>
  <si>
    <t>Formal Shirt 042</t>
  </si>
  <si>
    <t>P043</t>
  </si>
  <si>
    <t>Bookshelf 043</t>
  </si>
  <si>
    <t>P044</t>
  </si>
  <si>
    <t>Formal Shirt 044</t>
  </si>
  <si>
    <t>P045</t>
  </si>
  <si>
    <t>Belt 045</t>
  </si>
  <si>
    <t>P046</t>
  </si>
  <si>
    <t>Wireless Earbuds 046</t>
  </si>
  <si>
    <t>P047</t>
  </si>
  <si>
    <t>Smartphone 047</t>
  </si>
  <si>
    <t>P048</t>
  </si>
  <si>
    <t>Belt 048</t>
  </si>
  <si>
    <t>P049</t>
  </si>
  <si>
    <t>Polo Shirt 049</t>
  </si>
  <si>
    <t>P050</t>
  </si>
  <si>
    <t>Office Chair 050</t>
  </si>
  <si>
    <t>P051</t>
  </si>
  <si>
    <t>Running Shoes 051</t>
  </si>
  <si>
    <t>P052</t>
  </si>
  <si>
    <t>Winter Jacket 052</t>
  </si>
  <si>
    <t>P053</t>
  </si>
  <si>
    <t>Study Table 053</t>
  </si>
  <si>
    <t>P054</t>
  </si>
  <si>
    <t>Sports Shoes 054</t>
  </si>
  <si>
    <t>P055</t>
  </si>
  <si>
    <t>Formal Shirt 055</t>
  </si>
  <si>
    <t>P056</t>
  </si>
  <si>
    <t>Cotton T-Shirt 056</t>
  </si>
  <si>
    <t>P057</t>
  </si>
  <si>
    <t>Travel Bag 057</t>
  </si>
  <si>
    <t>P058</t>
  </si>
  <si>
    <t>Power Bank 058</t>
  </si>
  <si>
    <t>P059</t>
  </si>
  <si>
    <t>Winter Jacket 059</t>
  </si>
  <si>
    <t>P060</t>
  </si>
  <si>
    <t>Bluetooth Speaker 060</t>
  </si>
  <si>
    <t>P061</t>
  </si>
  <si>
    <t>Office Chair 061</t>
  </si>
  <si>
    <t>P062</t>
  </si>
  <si>
    <t>Python Programming Book 062</t>
  </si>
  <si>
    <t>P063</t>
  </si>
  <si>
    <t>Cotton T-Shirt 063</t>
  </si>
  <si>
    <t>P064</t>
  </si>
  <si>
    <t>Denim Jeans 064</t>
  </si>
  <si>
    <t>P065</t>
  </si>
  <si>
    <t>Desk 065</t>
  </si>
  <si>
    <t>P066</t>
  </si>
  <si>
    <t>Smart Watch 066</t>
  </si>
  <si>
    <t>P067</t>
  </si>
  <si>
    <t>Formal Shirt 067</t>
  </si>
  <si>
    <t>P068</t>
  </si>
  <si>
    <t>Study Table 068</t>
  </si>
  <si>
    <t>P069</t>
  </si>
  <si>
    <t>Sneakers 069</t>
  </si>
  <si>
    <t>P070</t>
  </si>
  <si>
    <t>Fiction Novel 070</t>
  </si>
  <si>
    <t>P071</t>
  </si>
  <si>
    <t>Cotton T-Shirt 071</t>
  </si>
  <si>
    <t>P072</t>
  </si>
  <si>
    <t>Formal Shirt 072</t>
  </si>
  <si>
    <t>P073</t>
  </si>
  <si>
    <t>Desk 073</t>
  </si>
  <si>
    <t>P074</t>
  </si>
  <si>
    <t>Fiction Novel 074</t>
  </si>
  <si>
    <t>P075</t>
  </si>
  <si>
    <t>Sports Shoes 075</t>
  </si>
  <si>
    <t>P076</t>
  </si>
  <si>
    <t>Office Chair 076</t>
  </si>
  <si>
    <t>P077</t>
  </si>
  <si>
    <t>Bluetooth Speaker 077</t>
  </si>
  <si>
    <t>P078</t>
  </si>
  <si>
    <t>Leather Wallet 078</t>
  </si>
  <si>
    <t>P079</t>
  </si>
  <si>
    <t>Formal Shirt 079</t>
  </si>
  <si>
    <t>P080</t>
  </si>
  <si>
    <t>Power Bank 080</t>
  </si>
  <si>
    <t>P081</t>
  </si>
  <si>
    <t>Power Bank 081</t>
  </si>
  <si>
    <t>P082</t>
  </si>
  <si>
    <t>Management Book 082</t>
  </si>
  <si>
    <t>P083</t>
  </si>
  <si>
    <t>Cotton T-Shirt 083</t>
  </si>
  <si>
    <t>P084</t>
  </si>
  <si>
    <t>Sports Shoes 084</t>
  </si>
  <si>
    <t>P085</t>
  </si>
  <si>
    <t>Sandals 085</t>
  </si>
  <si>
    <t>P086</t>
  </si>
  <si>
    <t>Wireless Earbuds 086</t>
  </si>
  <si>
    <t>P087</t>
  </si>
  <si>
    <t>Desk 087</t>
  </si>
  <si>
    <t>P088</t>
  </si>
  <si>
    <t>Fiction Novel 088</t>
  </si>
  <si>
    <t>P089</t>
  </si>
  <si>
    <t>Cotton T-Shirt 089</t>
  </si>
  <si>
    <t>P090</t>
  </si>
  <si>
    <t>Storage Cabinet 090</t>
  </si>
  <si>
    <t>P091</t>
  </si>
  <si>
    <t>Running Shoes 091</t>
  </si>
  <si>
    <t>P092</t>
  </si>
  <si>
    <t>Storage Cabinet 092</t>
  </si>
  <si>
    <t>P093</t>
  </si>
  <si>
    <t>Wireless Earbuds 093</t>
  </si>
  <si>
    <t>P094</t>
  </si>
  <si>
    <t>Sneakers 094</t>
  </si>
  <si>
    <t>P095</t>
  </si>
  <si>
    <t>Smart Watch 095</t>
  </si>
  <si>
    <t>P096</t>
  </si>
  <si>
    <t>Cotton T-Shirt 096</t>
  </si>
  <si>
    <t>P097</t>
  </si>
  <si>
    <t>Laptop 097</t>
  </si>
  <si>
    <t>P098</t>
  </si>
  <si>
    <t>Study Table 098</t>
  </si>
  <si>
    <t>P099</t>
  </si>
  <si>
    <t>Bluetooth Speaker 099</t>
  </si>
  <si>
    <t>P100</t>
  </si>
  <si>
    <t>Storage Cabinet 100</t>
  </si>
  <si>
    <t>Row Labels</t>
  </si>
  <si>
    <t>Sum of Net_Sales</t>
  </si>
  <si>
    <t>Sum of Quantity_Returned</t>
  </si>
  <si>
    <t>Sum of Profit</t>
  </si>
  <si>
    <t>Grand Total</t>
  </si>
  <si>
    <t>Sum of Quantity_Sold</t>
  </si>
  <si>
    <t>Sum of Return Rate</t>
  </si>
  <si>
    <t>Finding</t>
  </si>
  <si>
    <t>Suggested action</t>
  </si>
  <si>
    <t>Electronics generates the highest sales and total profit.</t>
  </si>
  <si>
    <t>Review stock availability for its bestselling products.</t>
  </si>
  <si>
    <t>Investigate Clothing’s return reasons and product conditions before recommending changes.</t>
  </si>
  <si>
    <t>Review its sales volume and stock availability.</t>
  </si>
  <si>
    <t>Identify which products and return reasons contribute most to this cost.</t>
  </si>
  <si>
    <t>“Some orders precede recorded product launch or customer join dates. These inconsistencies remain unresolved and limit date-based conclusions.”</t>
  </si>
  <si>
    <r>
      <t xml:space="preserve">Clothing has the highest category return rate: </t>
    </r>
    <r>
      <rPr>
        <b/>
        <sz val="12"/>
        <color theme="1"/>
        <rFont val="Calibri"/>
        <family val="2"/>
        <scheme val="minor"/>
      </rPr>
      <t>4.17%</t>
    </r>
    <r>
      <rPr>
        <sz val="12"/>
        <color theme="1"/>
        <rFont val="Calibri"/>
        <family val="2"/>
        <scheme val="minor"/>
      </rPr>
      <t xml:space="preserve">, compared with </t>
    </r>
    <r>
      <rPr>
        <b/>
        <sz val="12"/>
        <color theme="1"/>
        <rFont val="Calibri"/>
        <family val="2"/>
        <scheme val="minor"/>
      </rPr>
      <t>3.65%</t>
    </r>
    <r>
      <rPr>
        <sz val="12"/>
        <color theme="1"/>
        <rFont val="Calibri"/>
        <family val="2"/>
        <scheme val="minor"/>
      </rPr>
      <t xml:space="preserve"> overall.</t>
    </r>
  </si>
  <si>
    <r>
      <t xml:space="preserve">Smartphone 034 ranks first by total profit: </t>
    </r>
    <r>
      <rPr>
        <b/>
        <sz val="12"/>
        <color theme="1"/>
        <rFont val="Calibri"/>
        <family val="2"/>
        <scheme val="minor"/>
      </rPr>
      <t>₹19,28,512.70</t>
    </r>
    <r>
      <rPr>
        <sz val="12"/>
        <color theme="1"/>
        <rFont val="Calibri"/>
        <family val="2"/>
        <scheme val="minor"/>
      </rPr>
      <t>.</t>
    </r>
  </si>
  <si>
    <r>
      <t xml:space="preserve">Returns cost the company </t>
    </r>
    <r>
      <rPr>
        <b/>
        <sz val="12"/>
        <color theme="1"/>
        <rFont val="Calibri"/>
        <family val="2"/>
        <scheme val="minor"/>
      </rPr>
      <t>₹1,43,859</t>
    </r>
    <r>
      <rPr>
        <sz val="12"/>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</si>
</sst>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4"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0" fillId="0" borderId="0" xfId="0" applyAlignment="1">
      <alignment horizontal="left"/>
    </xf>
    <xf numFmtId="0" fontId="0" fillId="0" borderId="0" xfId="0" pivotButton="1"/>
    <xf numFmtId="0" fontId="0" fillId="0" borderId="0" xfId="0" applyNumberFormat="1"/>
    <xf numFmtId="10" fontId="0" fillId="0" borderId="0" xfId="0" applyNumberFormat="1"/>
    <xf numFmtId="1" fontId="0" fillId="0" borderId="0" xfId="0" applyNumberFormat="1"/>
    <xf numFmtId="164" fontId="0" fillId="0" borderId="0" xfId="0" applyNumberFormat="1" applyFont="1" applyFill="1" applyBorder="1" applyAlignment="1" applyProtection="1"/>
    <xf numFmtId="0" fontId="2" fillId="0" borderId="0" xfId="0" applyFont="1" applyAlignment="1">
      <alignment vertical="center" wrapText="1"/>
    </xf>
    <xf numFmtId="0" fontId="1" fillId="2" borderId="0" xfId="0" applyFont="1" applyFill="1" applyAlignment="1">
      <alignment horizontal="center" vertical="center" wrapText="1"/>
    </xf>
    <xf numFmtId="0" fontId="0" fillId="0" borderId="0" xfId="0" applyAlignment="1">
      <alignment wrapText="1"/>
    </xf>
    <xf numFmtId="0" fontId="3" fillId="0" borderId="0" xfId="0" applyFont="1" applyAlignment="1">
      <alignment wrapText="1"/>
    </xf>
  </cellXfs>
  <cellStyles count="1">
    <cellStyle name="Normal" xfId="0" builtinId="0"/>
  </cellStyles>
  <dxfs count="9">
    <dxf>
      <numFmt numFmtId="164" formatCode="&quot;₹&quot;\ #,##0.0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quot;₹&quot;\ #,##0.00"/>
    </dxf>
    <dxf>
      <numFmt numFmtId="164" formatCode="&quot;₹&quot;\ #,##0.0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Electronics</c:v>
              </c:pt>
              <c:pt idx="1">
                <c:v>Furniture</c:v>
              </c:pt>
              <c:pt idx="2">
                <c:v>Clothing</c:v>
              </c:pt>
              <c:pt idx="3">
                <c:v>Shoes</c:v>
              </c:pt>
              <c:pt idx="4">
                <c:v>Accessories</c:v>
              </c:pt>
              <c:pt idx="5">
                <c:v>Books</c:v>
              </c:pt>
            </c:strLit>
          </c:cat>
          <c:val>
            <c:numLit>
              <c:formatCode>General</c:formatCode>
              <c:ptCount val="6"/>
              <c:pt idx="0">
                <c:v>102220453.95</c:v>
              </c:pt>
              <c:pt idx="1">
                <c:v>44303110.649999999</c:v>
              </c:pt>
              <c:pt idx="2">
                <c:v>12901973.650000002</c:v>
              </c:pt>
              <c:pt idx="3">
                <c:v>11461739.75</c:v>
              </c:pt>
              <c:pt idx="4">
                <c:v>9449639.6500000004</c:v>
              </c:pt>
              <c:pt idx="5">
                <c:v>2287033.6000000006</c:v>
              </c:pt>
            </c:numLit>
          </c:val>
          <c:extLst>
            <c:ext xmlns:c16="http://schemas.microsoft.com/office/drawing/2014/chart" uri="{C3380CC4-5D6E-409C-BE32-E72D297353CC}">
              <c16:uniqueId val="{00000000-9E52-44EF-95CE-C676510FCD5F}"/>
            </c:ext>
          </c:extLst>
        </c:ser>
        <c:dLbls>
          <c:showLegendKey val="0"/>
          <c:showVal val="0"/>
          <c:showCatName val="0"/>
          <c:showSerName val="0"/>
          <c:showPercent val="0"/>
          <c:showBubbleSize val="0"/>
        </c:dLbls>
        <c:gapWidth val="219"/>
        <c:overlap val="-27"/>
        <c:axId val="494786592"/>
        <c:axId val="494780352"/>
      </c:barChart>
      <c:catAx>
        <c:axId val="49478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780352"/>
        <c:crosses val="autoZero"/>
        <c:auto val="1"/>
        <c:lblAlgn val="ctr"/>
        <c:lblOffset val="100"/>
        <c:noMultiLvlLbl val="0"/>
      </c:catAx>
      <c:valAx>
        <c:axId val="49478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786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373380</xdr:colOff>
      <xdr:row>13</xdr:row>
      <xdr:rowOff>7620</xdr:rowOff>
    </xdr:from>
    <xdr:to>
      <xdr:col>10</xdr:col>
      <xdr:colOff>373380</xdr:colOff>
      <xdr:row>26</xdr:row>
      <xdr:rowOff>97155</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97040" y="2385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121920</xdr:colOff>
      <xdr:row>12</xdr:row>
      <xdr:rowOff>163830</xdr:rowOff>
    </xdr:from>
    <xdr:to>
      <xdr:col>7</xdr:col>
      <xdr:colOff>83820</xdr:colOff>
      <xdr:row>25</xdr:row>
      <xdr:rowOff>22860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hopSphere_Excel_Analysi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nkit mondal" refreshedDate="46309.666497453705" createdVersion="6" refreshedVersion="6" minRefreshableVersion="3" recordCount="100">
  <cacheSource type="worksheet">
    <worksheetSource name="ProductData" r:id="rId2"/>
  </cacheSource>
  <cacheFields count="11">
    <cacheField name="Product_ID" numFmtId="0">
      <sharedItems/>
    </cacheField>
    <cacheField name="Product_Name" numFmtId="0">
      <sharedItems/>
    </cacheField>
    <cacheField name="Category" numFmtId="0">
      <sharedItems count="6">
        <s v="Books"/>
        <s v="Clothing"/>
        <s v="Accessories"/>
        <s v="Furniture"/>
        <s v="Electronics"/>
        <s v="Shoes"/>
      </sharedItems>
    </cacheField>
    <cacheField name="Quantity_Ordered" numFmtId="0">
      <sharedItems containsSemiMixedTypes="0" containsString="0" containsNumber="1" containsInteger="1" minValue="151" maxValue="272"/>
    </cacheField>
    <cacheField name="Quantity_Returned" numFmtId="0">
      <sharedItems containsSemiMixedTypes="0" containsString="0" containsNumber="1" containsInteger="1" minValue="0" maxValue="15"/>
    </cacheField>
    <cacheField name="Quantity_Sold" numFmtId="0">
      <sharedItems containsSemiMixedTypes="0" containsString="0" containsNumber="1" containsInteger="1" minValue="147" maxValue="257"/>
    </cacheField>
    <cacheField name="Net_Sales" numFmtId="0">
      <sharedItems containsSemiMixedTypes="0" containsString="0" containsNumber="1" minValue="60254.7" maxValue="10022567"/>
    </cacheField>
    <cacheField name="Total_Cost_Price" numFmtId="0">
      <sharedItems containsSemiMixedTypes="0" containsString="0" containsNumber="1" containsInteger="1" minValue="52332" maxValue="8270160"/>
    </cacheField>
    <cacheField name="Total_Return_Cost" numFmtId="0">
      <sharedItems containsSemiMixedTypes="0" containsString="0" containsNumber="1" containsInteger="1" minValue="0" maxValue="2972"/>
    </cacheField>
    <cacheField name="Profit" numFmtId="0">
      <sharedItems containsSemiMixedTypes="0" containsString="0" containsNumber="1" minValue="4514.25" maxValue="1928512.7000000002"/>
    </cacheField>
    <cacheField name="Return Rate" numFmtId="0" formula="Quantity_Returned/Quantity_Ordered" databaseField="0"/>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Ankit mondal" refreshedDate="46309.681679166664" createdVersion="6" refreshedVersion="6" minRefreshableVersion="3" recordCount="100">
  <cacheSource type="worksheet">
    <worksheetSource name="ProductData"/>
  </cacheSource>
  <cacheFields count="10">
    <cacheField name="Product_ID" numFmtId="0">
      <sharedItems/>
    </cacheField>
    <cacheField name="Product_Name" numFmtId="0">
      <sharedItems count="100">
        <s v="Fiction Novel 001"/>
        <s v="Cotton T-Shirt 002"/>
        <s v="Smart Watch 003"/>
        <s v="Cotton T-Shirt 004"/>
        <s v="Python Programming Book 005"/>
        <s v="Formal Shirt 006"/>
        <s v="Storage Cabinet 007"/>
        <s v="Wireless Earbuds 008"/>
        <s v="Belt 009"/>
        <s v="Formal Shirt 010"/>
        <s v="Polo Shirt 011"/>
        <s v="Office Chair 012"/>
        <s v="Wireless Earbuds 013"/>
        <s v="Denim Jeans 014"/>
        <s v="Leather Wallet 015"/>
        <s v="Desk 016"/>
        <s v="Smartphone 017"/>
        <s v="Denim Jeans 018"/>
        <s v="Formal Shoes 019"/>
        <s v="Study Table 020"/>
        <s v="Business Strategy Book 021"/>
        <s v="Laptop 022"/>
        <s v="Bookshelf 023"/>
        <s v="Sandals 024"/>
        <s v="Business Strategy Book 025"/>
        <s v="Leather Wallet 026"/>
        <s v="Winter Jacket 027"/>
        <s v="Storage Cabinet 028"/>
        <s v="Management Book 029"/>
        <s v="Bookshelf 030"/>
        <s v="Business Strategy Book 031"/>
        <s v="Running Shoes 032"/>
        <s v="Smartphone 033"/>
        <s v=" Smartphone 034 "/>
        <s v="Polo Shirt 035"/>
        <s v="Running Shoes 036"/>
        <s v="Laptop 037"/>
        <s v="Smart Watch 038"/>
        <s v="Study Table 039"/>
        <s v="Cotton T-Shirt 040"/>
        <s v="Sandals 041"/>
        <s v="Formal Shirt 042"/>
        <s v="Bookshelf 043"/>
        <s v="Formal Shirt 044"/>
        <s v="Belt 045"/>
        <s v="Wireless Earbuds 046"/>
        <s v="Smartphone 047"/>
        <s v="Belt 048"/>
        <s v="Polo Shirt 049"/>
        <s v="Office Chair 050"/>
        <s v="Running Shoes 051"/>
        <s v="Winter Jacket 052"/>
        <s v="Study Table 053"/>
        <s v="Sports Shoes 054"/>
        <s v="Formal Shirt 055"/>
        <s v="Cotton T-Shirt 056"/>
        <s v="Travel Bag 057"/>
        <s v="Power Bank 058"/>
        <s v="Winter Jacket 059"/>
        <s v="Bluetooth Speaker 060"/>
        <s v="Office Chair 061"/>
        <s v="Python Programming Book 062"/>
        <s v="Cotton T-Shirt 063"/>
        <s v="Denim Jeans 064"/>
        <s v="Desk 065"/>
        <s v="Smart Watch 066"/>
        <s v="Formal Shirt 067"/>
        <s v="Study Table 068"/>
        <s v="Sneakers 069"/>
        <s v="Fiction Novel 070"/>
        <s v="Cotton T-Shirt 071"/>
        <s v="Formal Shirt 072"/>
        <s v="Desk 073"/>
        <s v="Fiction Novel 074"/>
        <s v="Sports Shoes 075"/>
        <s v="Office Chair 076"/>
        <s v="Bluetooth Speaker 077"/>
        <s v="Leather Wallet 078"/>
        <s v="Formal Shirt 079"/>
        <s v="Power Bank 080"/>
        <s v="Power Bank 081"/>
        <s v="Management Book 082"/>
        <s v="Cotton T-Shirt 083"/>
        <s v="Sports Shoes 084"/>
        <s v="Sandals 085"/>
        <s v="Wireless Earbuds 086"/>
        <s v="Desk 087"/>
        <s v="Fiction Novel 088"/>
        <s v="Cotton T-Shirt 089"/>
        <s v="Storage Cabinet 090"/>
        <s v="Running Shoes 091"/>
        <s v="Storage Cabinet 092"/>
        <s v="Wireless Earbuds 093"/>
        <s v="Sneakers 094"/>
        <s v="Smart Watch 095"/>
        <s v="Cotton T-Shirt 096"/>
        <s v="Laptop 097"/>
        <s v="Study Table 098"/>
        <s v="Bluetooth Speaker 099"/>
        <s v="Storage Cabinet 100"/>
      </sharedItems>
    </cacheField>
    <cacheField name="Category" numFmtId="0">
      <sharedItems/>
    </cacheField>
    <cacheField name="Quantity_Ordered" numFmtId="0">
      <sharedItems containsSemiMixedTypes="0" containsString="0" containsNumber="1" containsInteger="1" minValue="151" maxValue="272"/>
    </cacheField>
    <cacheField name="Quantity_Returned" numFmtId="0">
      <sharedItems containsSemiMixedTypes="0" containsString="0" containsNumber="1" containsInteger="1" minValue="0" maxValue="15"/>
    </cacheField>
    <cacheField name="Quantity_Sold" numFmtId="0">
      <sharedItems containsSemiMixedTypes="0" containsString="0" containsNumber="1" containsInteger="1" minValue="147" maxValue="257"/>
    </cacheField>
    <cacheField name="Net_Sales" numFmtId="164">
      <sharedItems containsSemiMixedTypes="0" containsString="0" containsNumber="1" minValue="60254.7" maxValue="10022567"/>
    </cacheField>
    <cacheField name="Total_Cost_Price" numFmtId="164">
      <sharedItems containsSemiMixedTypes="0" containsString="0" containsNumber="1" containsInteger="1" minValue="52332" maxValue="8270160"/>
    </cacheField>
    <cacheField name="Total_Return_Cost" numFmtId="0">
      <sharedItems containsSemiMixedTypes="0" containsString="0" containsNumber="1" containsInteger="1" minValue="0" maxValue="2972"/>
    </cacheField>
    <cacheField name="Profit" numFmtId="164">
      <sharedItems containsSemiMixedTypes="0" containsString="0" containsNumber="1" minValue="4514.25" maxValue="1928512.70000000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
  <r>
    <s v="P001"/>
    <s v="Fiction Novel 001"/>
    <x v="0"/>
    <n v="204"/>
    <n v="5"/>
    <n v="199"/>
    <n v="305755.7"/>
    <n v="226661"/>
    <n v="351"/>
    <n v="78743.700000000012"/>
  </r>
  <r>
    <s v="P002"/>
    <s v="Cotton T-Shirt 002"/>
    <x v="1"/>
    <n v="188"/>
    <n v="8"/>
    <n v="180"/>
    <n v="653696.4"/>
    <n v="482040"/>
    <n v="1125"/>
    <n v="170531.40000000002"/>
  </r>
  <r>
    <s v="P003"/>
    <s v="Smart Watch 003"/>
    <x v="2"/>
    <n v="215"/>
    <n v="4"/>
    <n v="211"/>
    <n v="1434500"/>
    <n v="1039175"/>
    <n v="977"/>
    <n v="394348"/>
  </r>
  <r>
    <s v="P004"/>
    <s v="Cotton T-Shirt 004"/>
    <x v="1"/>
    <n v="238"/>
    <n v="10"/>
    <n v="228"/>
    <n v="434035.20000000001"/>
    <n v="377340"/>
    <n v="1848"/>
    <n v="54847.200000000012"/>
  </r>
  <r>
    <s v="P005"/>
    <s v="Python Programming Book 005"/>
    <x v="0"/>
    <n v="212"/>
    <n v="11"/>
    <n v="201"/>
    <n v="66229.25"/>
    <n v="60903"/>
    <n v="812"/>
    <n v="4514.25"/>
  </r>
  <r>
    <s v="P006"/>
    <s v="Formal Shirt 006"/>
    <x v="1"/>
    <n v="160"/>
    <n v="8"/>
    <n v="152"/>
    <n v="335065.8"/>
    <n v="242592"/>
    <n v="1873"/>
    <n v="90600.799999999988"/>
  </r>
  <r>
    <s v="P007"/>
    <s v="Storage Cabinet 007"/>
    <x v="3"/>
    <n v="212"/>
    <n v="12"/>
    <n v="200"/>
    <n v="2584455.6"/>
    <n v="1939800"/>
    <n v="2972"/>
    <n v="641683.60000000009"/>
  </r>
  <r>
    <s v="P008"/>
    <s v="Wireless Earbuds 008"/>
    <x v="4"/>
    <n v="171"/>
    <n v="2"/>
    <n v="169"/>
    <n v="7890173.5999999996"/>
    <n v="6292715"/>
    <n v="199"/>
    <n v="1597259.5999999996"/>
  </r>
  <r>
    <s v="P009"/>
    <s v="Belt 009"/>
    <x v="2"/>
    <n v="193"/>
    <n v="6"/>
    <n v="187"/>
    <n v="876546"/>
    <n v="723503"/>
    <n v="1846"/>
    <n v="151197"/>
  </r>
  <r>
    <s v="P010"/>
    <s v="Formal Shirt 010"/>
    <x v="1"/>
    <n v="182"/>
    <n v="8"/>
    <n v="174"/>
    <n v="430317.9"/>
    <n v="363138"/>
    <n v="1495"/>
    <n v="65684.900000000023"/>
  </r>
  <r>
    <s v="P011"/>
    <s v="Polo Shirt 011"/>
    <x v="1"/>
    <n v="242"/>
    <n v="15"/>
    <n v="227"/>
    <n v="894484.85"/>
    <n v="734572"/>
    <n v="1738"/>
    <n v="158174.84999999998"/>
  </r>
  <r>
    <s v="P012"/>
    <s v="Office Chair 012"/>
    <x v="3"/>
    <n v="209"/>
    <n v="6"/>
    <n v="203"/>
    <n v="2686909.7"/>
    <n v="1913681"/>
    <n v="1636"/>
    <n v="771592.70000000019"/>
  </r>
  <r>
    <s v="P013"/>
    <s v="Wireless Earbuds 013"/>
    <x v="4"/>
    <n v="216"/>
    <n v="13"/>
    <n v="203"/>
    <n v="7137092.25"/>
    <n v="5944246"/>
    <n v="2252"/>
    <n v="1190594.25"/>
  </r>
  <r>
    <s v="P014"/>
    <s v="Denim Jeans 014"/>
    <x v="1"/>
    <n v="204"/>
    <n v="4"/>
    <n v="200"/>
    <n v="778189.5"/>
    <n v="613000"/>
    <n v="355"/>
    <n v="164834.5"/>
  </r>
  <r>
    <s v="P015"/>
    <s v="Leather Wallet 015"/>
    <x v="2"/>
    <n v="272"/>
    <n v="15"/>
    <n v="257"/>
    <n v="451902.1"/>
    <n v="348235"/>
    <n v="2319"/>
    <n v="101348.09999999998"/>
  </r>
  <r>
    <s v="P016"/>
    <s v="Desk 016"/>
    <x v="3"/>
    <n v="179"/>
    <n v="10"/>
    <n v="169"/>
    <n v="2755836"/>
    <n v="2383238"/>
    <n v="2397"/>
    <n v="370201"/>
  </r>
  <r>
    <s v="P017"/>
    <s v="Smartphone 017"/>
    <x v="4"/>
    <n v="223"/>
    <n v="7"/>
    <n v="216"/>
    <n v="8789455"/>
    <n v="7633440"/>
    <n v="1048"/>
    <n v="1154967"/>
  </r>
  <r>
    <s v="P018"/>
    <s v="Denim Jeans 018"/>
    <x v="1"/>
    <n v="186"/>
    <n v="13"/>
    <n v="173"/>
    <n v="206325.6"/>
    <n v="166080"/>
    <n v="2529"/>
    <n v="37716.600000000006"/>
  </r>
  <r>
    <s v="P019"/>
    <s v="Formal Shoes 019"/>
    <x v="5"/>
    <n v="204"/>
    <n v="0"/>
    <n v="204"/>
    <n v="1288445.6000000001"/>
    <n v="1070388"/>
    <n v="0"/>
    <n v="218057.60000000009"/>
  </r>
  <r>
    <s v="P020"/>
    <s v="Study Table 020"/>
    <x v="3"/>
    <n v="151"/>
    <n v="4"/>
    <n v="147"/>
    <n v="866783.6"/>
    <n v="687960"/>
    <n v="1080"/>
    <n v="177743.59999999998"/>
  </r>
  <r>
    <s v="P021"/>
    <s v="Business Strategy Book 021"/>
    <x v="0"/>
    <n v="192"/>
    <n v="6"/>
    <n v="186"/>
    <n v="128122.8"/>
    <n v="116064"/>
    <n v="1650"/>
    <n v="10408.800000000003"/>
  </r>
  <r>
    <s v="P022"/>
    <s v="Laptop 022"/>
    <x v="4"/>
    <n v="198"/>
    <n v="6"/>
    <n v="192"/>
    <n v="3399890.4"/>
    <n v="2893440"/>
    <n v="1103"/>
    <n v="505347.39999999991"/>
  </r>
  <r>
    <s v="P023"/>
    <s v="Bookshelf 023"/>
    <x v="3"/>
    <n v="229"/>
    <n v="7"/>
    <n v="222"/>
    <n v="1981586.1"/>
    <n v="1801308"/>
    <n v="2144"/>
    <n v="178134.10000000009"/>
  </r>
  <r>
    <s v="P024"/>
    <s v="Sandals 024"/>
    <x v="5"/>
    <n v="184"/>
    <n v="6"/>
    <n v="178"/>
    <n v="1048287.5"/>
    <n v="956928"/>
    <n v="1529"/>
    <n v="89830.5"/>
  </r>
  <r>
    <s v="P025"/>
    <s v="Business Strategy Book 025"/>
    <x v="0"/>
    <n v="184"/>
    <n v="8"/>
    <n v="176"/>
    <n v="165201"/>
    <n v="145904"/>
    <n v="548"/>
    <n v="18749"/>
  </r>
  <r>
    <s v="P026"/>
    <s v="Leather Wallet 026"/>
    <x v="2"/>
    <n v="209"/>
    <n v="5"/>
    <n v="204"/>
    <n v="157079"/>
    <n v="120564"/>
    <n v="1528"/>
    <n v="34987"/>
  </r>
  <r>
    <s v="P027"/>
    <s v="Winter Jacket 027"/>
    <x v="1"/>
    <n v="185"/>
    <n v="4"/>
    <n v="181"/>
    <n v="678296.3"/>
    <n v="560738"/>
    <n v="721"/>
    <n v="116837.30000000005"/>
  </r>
  <r>
    <s v="P028"/>
    <s v="Storage Cabinet 028"/>
    <x v="3"/>
    <n v="214"/>
    <n v="8"/>
    <n v="206"/>
    <n v="1431978.8"/>
    <n v="1019700"/>
    <n v="1946"/>
    <n v="410332.80000000005"/>
  </r>
  <r>
    <s v="P029"/>
    <s v="Management Book 029"/>
    <x v="0"/>
    <n v="226"/>
    <n v="8"/>
    <n v="218"/>
    <n v="239336.85"/>
    <n v="196636"/>
    <n v="1375"/>
    <n v="41325.850000000006"/>
  </r>
  <r>
    <s v="P030"/>
    <s v="Bookshelf 030"/>
    <x v="3"/>
    <n v="170"/>
    <n v="5"/>
    <n v="165"/>
    <n v="2908405"/>
    <n v="2316765"/>
    <n v="446"/>
    <n v="591194"/>
  </r>
  <r>
    <s v="P031"/>
    <s v="Business Strategy Book 031"/>
    <x v="0"/>
    <n v="190"/>
    <n v="6"/>
    <n v="184"/>
    <n v="381319.2"/>
    <n v="318872"/>
    <n v="1706"/>
    <n v="60741.200000000012"/>
  </r>
  <r>
    <s v="P032"/>
    <s v="Running Shoes 032"/>
    <x v="5"/>
    <n v="230"/>
    <n v="5"/>
    <n v="225"/>
    <n v="1920643.15"/>
    <n v="1474200"/>
    <n v="828"/>
    <n v="445615.14999999991"/>
  </r>
  <r>
    <s v="P033"/>
    <s v="Smartphone 033"/>
    <x v="4"/>
    <n v="179"/>
    <n v="6"/>
    <n v="173"/>
    <n v="4248358.4000000004"/>
    <n v="3699259"/>
    <n v="1208"/>
    <n v="547891.40000000037"/>
  </r>
  <r>
    <s v="P034"/>
    <s v=" Smartphone 034 "/>
    <x v="4"/>
    <n v="171"/>
    <n v="0"/>
    <n v="171"/>
    <n v="7697026.7000000002"/>
    <n v="5768514"/>
    <n v="0"/>
    <n v="1928512.7000000002"/>
  </r>
  <r>
    <s v="P035"/>
    <s v="Polo Shirt 035"/>
    <x v="1"/>
    <n v="207"/>
    <n v="11"/>
    <n v="196"/>
    <n v="565869"/>
    <n v="474320"/>
    <n v="2401"/>
    <n v="89148"/>
  </r>
  <r>
    <s v="P036"/>
    <s v="Running Shoes 036"/>
    <x v="5"/>
    <n v="221"/>
    <n v="12"/>
    <n v="209"/>
    <n v="317830.8"/>
    <n v="242440"/>
    <n v="1833"/>
    <n v="73557.799999999988"/>
  </r>
  <r>
    <s v="P037"/>
    <s v="Laptop 037"/>
    <x v="4"/>
    <n v="263"/>
    <n v="8"/>
    <n v="255"/>
    <n v="3065512.5"/>
    <n v="2674695"/>
    <n v="1817"/>
    <n v="389000.5"/>
  </r>
  <r>
    <s v="P038"/>
    <s v="Smart Watch 038"/>
    <x v="2"/>
    <n v="193"/>
    <n v="4"/>
    <n v="189"/>
    <n v="1311815.3999999999"/>
    <n v="982044"/>
    <n v="911"/>
    <n v="328860.39999999991"/>
  </r>
  <r>
    <s v="P039"/>
    <s v="Study Table 039"/>
    <x v="3"/>
    <n v="203"/>
    <n v="14"/>
    <n v="189"/>
    <n v="1338382.5"/>
    <n v="1189944"/>
    <n v="1352"/>
    <n v="147086.5"/>
  </r>
  <r>
    <s v="P040"/>
    <s v="Cotton T-Shirt 040"/>
    <x v="1"/>
    <n v="205"/>
    <n v="11"/>
    <n v="194"/>
    <n v="349490.4"/>
    <n v="250648"/>
    <n v="2100"/>
    <n v="96742.400000000023"/>
  </r>
  <r>
    <s v="P041"/>
    <s v="Sandals 041"/>
    <x v="5"/>
    <n v="213"/>
    <n v="3"/>
    <n v="210"/>
    <n v="680316"/>
    <n v="515550"/>
    <n v="1031"/>
    <n v="163735"/>
  </r>
  <r>
    <s v="P042"/>
    <s v="Formal Shirt 042"/>
    <x v="1"/>
    <n v="176"/>
    <n v="8"/>
    <n v="168"/>
    <n v="653036.80000000005"/>
    <n v="581280"/>
    <n v="1879"/>
    <n v="69877.800000000047"/>
  </r>
  <r>
    <s v="P043"/>
    <s v="Bookshelf 043"/>
    <x v="3"/>
    <n v="162"/>
    <n v="4"/>
    <n v="158"/>
    <n v="2288212.6"/>
    <n v="1936764"/>
    <n v="413"/>
    <n v="351035.60000000009"/>
  </r>
  <r>
    <s v="P044"/>
    <s v="Formal Shirt 044"/>
    <x v="1"/>
    <n v="211"/>
    <n v="2"/>
    <n v="209"/>
    <n v="214603.7"/>
    <n v="166991"/>
    <n v="800"/>
    <n v="46812.700000000012"/>
  </r>
  <r>
    <s v="P045"/>
    <s v="Belt 045"/>
    <x v="2"/>
    <n v="184"/>
    <n v="3"/>
    <n v="181"/>
    <n v="540126"/>
    <n v="475668"/>
    <n v="670"/>
    <n v="63788"/>
  </r>
  <r>
    <s v="P046"/>
    <s v="Wireless Earbuds 046"/>
    <x v="4"/>
    <n v="175"/>
    <n v="6"/>
    <n v="169"/>
    <n v="8151982.7999999998"/>
    <n v="6694259"/>
    <n v="1595"/>
    <n v="1456128.7999999998"/>
  </r>
  <r>
    <s v="P047"/>
    <s v="Smartphone 047"/>
    <x v="4"/>
    <n v="200"/>
    <n v="6"/>
    <n v="194"/>
    <n v="4331294.4000000004"/>
    <n v="3337188"/>
    <n v="1382"/>
    <n v="992724.40000000037"/>
  </r>
  <r>
    <s v="P048"/>
    <s v="Belt 048"/>
    <x v="2"/>
    <n v="214"/>
    <n v="6"/>
    <n v="208"/>
    <n v="1473056.25"/>
    <n v="1134224"/>
    <n v="1192"/>
    <n v="337640.25"/>
  </r>
  <r>
    <s v="P049"/>
    <s v="Polo Shirt 049"/>
    <x v="1"/>
    <n v="199"/>
    <n v="5"/>
    <n v="194"/>
    <n v="289188.90000000002"/>
    <n v="205446"/>
    <n v="841"/>
    <n v="82901.900000000023"/>
  </r>
  <r>
    <s v="P050"/>
    <s v="Office Chair 050"/>
    <x v="3"/>
    <n v="196"/>
    <n v="2"/>
    <n v="194"/>
    <n v="1975640.4"/>
    <n v="1413872"/>
    <n v="440"/>
    <n v="561328.39999999991"/>
  </r>
  <r>
    <s v="P051"/>
    <s v="Running Shoes 051"/>
    <x v="5"/>
    <n v="198"/>
    <n v="8"/>
    <n v="190"/>
    <n v="556276.6"/>
    <n v="491720"/>
    <n v="1680"/>
    <n v="62876.599999999977"/>
  </r>
  <r>
    <s v="P052"/>
    <s v="Winter Jacket 052"/>
    <x v="1"/>
    <n v="193"/>
    <n v="9"/>
    <n v="184"/>
    <n v="797553.4"/>
    <n v="619344"/>
    <n v="1450"/>
    <n v="176759.40000000002"/>
  </r>
  <r>
    <s v="P053"/>
    <s v="Study Table 053"/>
    <x v="3"/>
    <n v="228"/>
    <n v="9"/>
    <n v="219"/>
    <n v="1382477.55"/>
    <n v="1230123"/>
    <n v="2657"/>
    <n v="149697.55000000005"/>
  </r>
  <r>
    <s v="P054"/>
    <s v="Sports Shoes 054"/>
    <x v="5"/>
    <n v="203"/>
    <n v="9"/>
    <n v="194"/>
    <n v="695150.9"/>
    <n v="620800"/>
    <n v="1600"/>
    <n v="72750.900000000023"/>
  </r>
  <r>
    <s v="P055"/>
    <s v="Formal Shirt 055"/>
    <x v="1"/>
    <n v="182"/>
    <n v="3"/>
    <n v="179"/>
    <n v="398685.1"/>
    <n v="310923"/>
    <n v="836"/>
    <n v="86926.099999999977"/>
  </r>
  <r>
    <s v="P056"/>
    <s v="Cotton T-Shirt 056"/>
    <x v="1"/>
    <n v="188"/>
    <n v="13"/>
    <n v="175"/>
    <n v="175067.55"/>
    <n v="136500"/>
    <n v="1897"/>
    <n v="36670.549999999988"/>
  </r>
  <r>
    <s v="P057"/>
    <s v="Travel Bag 057"/>
    <x v="2"/>
    <n v="162"/>
    <n v="8"/>
    <n v="154"/>
    <n v="537355.9"/>
    <n v="393470"/>
    <n v="1143"/>
    <n v="142742.90000000002"/>
  </r>
  <r>
    <s v="P058"/>
    <s v="Power Bank 058"/>
    <x v="4"/>
    <n v="218"/>
    <n v="7"/>
    <n v="211"/>
    <n v="3907593.6"/>
    <n v="3426218"/>
    <n v="1239"/>
    <n v="480136.60000000009"/>
  </r>
  <r>
    <s v="P059"/>
    <s v="Winter Jacket 059"/>
    <x v="1"/>
    <n v="198"/>
    <n v="15"/>
    <n v="183"/>
    <n v="200134"/>
    <n v="166347"/>
    <n v="2281"/>
    <n v="31506"/>
  </r>
  <r>
    <s v="P060"/>
    <s v="Bluetooth Speaker 060"/>
    <x v="4"/>
    <n v="248"/>
    <n v="8"/>
    <n v="240"/>
    <n v="3914918.4"/>
    <n v="3388320"/>
    <n v="957"/>
    <n v="525641.39999999991"/>
  </r>
  <r>
    <s v="P061"/>
    <s v="Office Chair 061"/>
    <x v="3"/>
    <n v="220"/>
    <n v="14"/>
    <n v="206"/>
    <n v="4505294.9000000004"/>
    <n v="3521776"/>
    <n v="1432"/>
    <n v="982086.90000000037"/>
  </r>
  <r>
    <s v="P062"/>
    <s v="Python Programming Book 062"/>
    <x v="0"/>
    <n v="181"/>
    <n v="1"/>
    <n v="180"/>
    <n v="122568.6"/>
    <n v="93420"/>
    <n v="220"/>
    <n v="28928.600000000006"/>
  </r>
  <r>
    <s v="P063"/>
    <s v="Cotton T-Shirt 063"/>
    <x v="1"/>
    <n v="248"/>
    <n v="9"/>
    <n v="239"/>
    <n v="184986"/>
    <n v="159174"/>
    <n v="2197"/>
    <n v="23615"/>
  </r>
  <r>
    <s v="P064"/>
    <s v="Denim Jeans 064"/>
    <x v="1"/>
    <n v="199"/>
    <n v="12"/>
    <n v="187"/>
    <n v="335334.25"/>
    <n v="293777"/>
    <n v="2294"/>
    <n v="39263.25"/>
  </r>
  <r>
    <s v="P065"/>
    <s v="Desk 065"/>
    <x v="3"/>
    <n v="174"/>
    <n v="7"/>
    <n v="167"/>
    <n v="2274655.5"/>
    <n v="1966926"/>
    <n v="2073"/>
    <n v="305656.5"/>
  </r>
  <r>
    <s v="P066"/>
    <s v="Smart Watch 066"/>
    <x v="2"/>
    <n v="199"/>
    <n v="7"/>
    <n v="192"/>
    <n v="1285440.6000000001"/>
    <n v="1101120"/>
    <n v="1603"/>
    <n v="182717.60000000009"/>
  </r>
  <r>
    <s v="P067"/>
    <s v="Formal Shirt 067"/>
    <x v="1"/>
    <n v="212"/>
    <n v="7"/>
    <n v="205"/>
    <n v="784050.75"/>
    <n v="678550"/>
    <n v="1862"/>
    <n v="103638.75"/>
  </r>
  <r>
    <s v="P068"/>
    <s v="Study Table 068"/>
    <x v="3"/>
    <n v="204"/>
    <n v="5"/>
    <n v="199"/>
    <n v="766199.25"/>
    <n v="569339"/>
    <n v="924"/>
    <n v="195936.25"/>
  </r>
  <r>
    <s v="P069"/>
    <s v="Sneakers 069"/>
    <x v="5"/>
    <n v="178"/>
    <n v="9"/>
    <n v="169"/>
    <n v="534911"/>
    <n v="438217"/>
    <n v="1437"/>
    <n v="95257"/>
  </r>
  <r>
    <s v="P070"/>
    <s v="Fiction Novel 070"/>
    <x v="0"/>
    <n v="182"/>
    <n v="11"/>
    <n v="171"/>
    <n v="132140.25"/>
    <n v="109953"/>
    <n v="1255"/>
    <n v="20932.25"/>
  </r>
  <r>
    <s v="P071"/>
    <s v="Cotton T-Shirt 071"/>
    <x v="1"/>
    <n v="183"/>
    <n v="4"/>
    <n v="179"/>
    <n v="762091"/>
    <n v="562597"/>
    <n v="840"/>
    <n v="198654"/>
  </r>
  <r>
    <s v="P072"/>
    <s v="Formal Shirt 072"/>
    <x v="1"/>
    <n v="219"/>
    <n v="9"/>
    <n v="210"/>
    <n v="211344"/>
    <n v="156240"/>
    <n v="1947"/>
    <n v="53157"/>
  </r>
  <r>
    <s v="P073"/>
    <s v="Desk 073"/>
    <x v="3"/>
    <n v="220"/>
    <n v="3"/>
    <n v="217"/>
    <n v="2189286"/>
    <n v="1570646"/>
    <n v="586"/>
    <n v="618054"/>
  </r>
  <r>
    <s v="P074"/>
    <s v="Fiction Novel 074"/>
    <x v="0"/>
    <n v="156"/>
    <n v="4"/>
    <n v="152"/>
    <n v="237101.25"/>
    <n v="206416"/>
    <n v="794"/>
    <n v="29891.25"/>
  </r>
  <r>
    <s v="P075"/>
    <s v="Sports Shoes 075"/>
    <x v="5"/>
    <n v="231"/>
    <n v="5"/>
    <n v="226"/>
    <n v="1024622.5"/>
    <n v="876428"/>
    <n v="1017"/>
    <n v="147177.5"/>
  </r>
  <r>
    <s v="P076"/>
    <s v="Office Chair 076"/>
    <x v="3"/>
    <n v="179"/>
    <n v="3"/>
    <n v="176"/>
    <n v="628627"/>
    <n v="552112"/>
    <n v="828"/>
    <n v="75687"/>
  </r>
  <r>
    <s v="P077"/>
    <s v="Bluetooth Speaker 077"/>
    <x v="4"/>
    <n v="241"/>
    <n v="13"/>
    <n v="228"/>
    <n v="5795604"/>
    <n v="4389456"/>
    <n v="2846"/>
    <n v="1403302"/>
  </r>
  <r>
    <s v="P078"/>
    <s v="Leather Wallet 078"/>
    <x v="2"/>
    <n v="200"/>
    <n v="10"/>
    <n v="190"/>
    <n v="1172978.3999999999"/>
    <n v="1008710"/>
    <n v="2131"/>
    <n v="162137.39999999991"/>
  </r>
  <r>
    <s v="P079"/>
    <s v="Formal Shirt 079"/>
    <x v="1"/>
    <n v="215"/>
    <n v="6"/>
    <n v="209"/>
    <n v="501777"/>
    <n v="415492"/>
    <n v="1289"/>
    <n v="84996"/>
  </r>
  <r>
    <s v="P080"/>
    <s v="Power Bank 080"/>
    <x v="4"/>
    <n v="219"/>
    <n v="8"/>
    <n v="211"/>
    <n v="7330428.5999999996"/>
    <n v="5685817"/>
    <n v="1690"/>
    <n v="1642921.5999999996"/>
  </r>
  <r>
    <s v="P081"/>
    <s v="Power Bank 081"/>
    <x v="4"/>
    <n v="217"/>
    <n v="13"/>
    <n v="204"/>
    <n v="10022567"/>
    <n v="8270160"/>
    <n v="2615"/>
    <n v="1749792"/>
  </r>
  <r>
    <s v="P082"/>
    <s v="Management Book 082"/>
    <x v="0"/>
    <n v="211"/>
    <n v="6"/>
    <n v="205"/>
    <n v="449004"/>
    <n v="327795"/>
    <n v="1144"/>
    <n v="120065"/>
  </r>
  <r>
    <s v="P083"/>
    <s v="Cotton T-Shirt 083"/>
    <x v="1"/>
    <n v="198"/>
    <n v="12"/>
    <n v="186"/>
    <n v="772922.95"/>
    <n v="603012"/>
    <n v="2751"/>
    <n v="167159.94999999995"/>
  </r>
  <r>
    <s v="P084"/>
    <s v="Sports Shoes 084"/>
    <x v="5"/>
    <n v="194"/>
    <n v="6"/>
    <n v="188"/>
    <n v="1202417.1499999999"/>
    <n v="975720"/>
    <n v="1100"/>
    <n v="225597.14999999991"/>
  </r>
  <r>
    <s v="P085"/>
    <s v="Sandals 085"/>
    <x v="5"/>
    <n v="221"/>
    <n v="10"/>
    <n v="211"/>
    <n v="347565.8"/>
    <n v="262695"/>
    <n v="2279"/>
    <n v="82591.799999999988"/>
  </r>
  <r>
    <s v="P086"/>
    <s v="Wireless Earbuds 086"/>
    <x v="4"/>
    <n v="192"/>
    <n v="6"/>
    <n v="186"/>
    <n v="1181281.7"/>
    <n v="1029138"/>
    <n v="1235"/>
    <n v="150908.69999999995"/>
  </r>
  <r>
    <s v="P087"/>
    <s v="Desk 087"/>
    <x v="3"/>
    <n v="209"/>
    <n v="7"/>
    <n v="202"/>
    <n v="2861287"/>
    <n v="2559542"/>
    <n v="1917"/>
    <n v="299828"/>
  </r>
  <r>
    <s v="P088"/>
    <s v="Fiction Novel 088"/>
    <x v="0"/>
    <n v="199"/>
    <n v="3"/>
    <n v="196"/>
    <n v="60254.7"/>
    <n v="52332"/>
    <n v="717"/>
    <n v="7205.6999999999971"/>
  </r>
  <r>
    <s v="P089"/>
    <s v="Cotton T-Shirt 089"/>
    <x v="1"/>
    <n v="217"/>
    <n v="2"/>
    <n v="215"/>
    <n v="964707.3"/>
    <n v="710575"/>
    <n v="345"/>
    <n v="253787.30000000005"/>
  </r>
  <r>
    <s v="P090"/>
    <s v="Storage Cabinet 090"/>
    <x v="3"/>
    <n v="215"/>
    <n v="5"/>
    <n v="210"/>
    <n v="1860466.4"/>
    <n v="1494780"/>
    <n v="1533"/>
    <n v="364153.39999999991"/>
  </r>
  <r>
    <s v="P091"/>
    <s v="Running Shoes 091"/>
    <x v="5"/>
    <n v="187"/>
    <n v="8"/>
    <n v="179"/>
    <n v="991076.15"/>
    <n v="884260"/>
    <n v="2098"/>
    <n v="104718.15000000002"/>
  </r>
  <r>
    <s v="P092"/>
    <s v="Storage Cabinet 092"/>
    <x v="3"/>
    <n v="191"/>
    <n v="4"/>
    <n v="187"/>
    <n v="3693278"/>
    <n v="3236970"/>
    <n v="1195"/>
    <n v="455113"/>
  </r>
  <r>
    <s v="P093"/>
    <s v="Wireless Earbuds 093"/>
    <x v="4"/>
    <n v="182"/>
    <n v="9"/>
    <n v="173"/>
    <n v="7652848.5"/>
    <n v="6899586"/>
    <n v="2204"/>
    <n v="751058.5"/>
  </r>
  <r>
    <s v="P094"/>
    <s v="Sneakers 094"/>
    <x v="5"/>
    <n v="220"/>
    <n v="5"/>
    <n v="215"/>
    <n v="854196.6"/>
    <n v="658545"/>
    <n v="1010"/>
    <n v="194641.59999999998"/>
  </r>
  <r>
    <s v="P095"/>
    <s v="Smart Watch 095"/>
    <x v="2"/>
    <n v="216"/>
    <n v="10"/>
    <n v="206"/>
    <n v="208840"/>
    <n v="155324"/>
    <n v="2246"/>
    <n v="51270"/>
  </r>
  <r>
    <s v="P096"/>
    <s v="Cotton T-Shirt 096"/>
    <x v="1"/>
    <n v="190"/>
    <n v="10"/>
    <n v="180"/>
    <n v="330720"/>
    <n v="273960"/>
    <n v="2108"/>
    <n v="54652"/>
  </r>
  <r>
    <s v="P097"/>
    <s v="Laptop 097"/>
    <x v="4"/>
    <n v="190"/>
    <n v="9"/>
    <n v="181"/>
    <n v="1019018.7"/>
    <n v="911154"/>
    <n v="2120"/>
    <n v="105744.69999999995"/>
  </r>
  <r>
    <s v="P098"/>
    <s v="Study Table 098"/>
    <x v="3"/>
    <n v="167"/>
    <n v="5"/>
    <n v="162"/>
    <n v="2384943.65"/>
    <n v="2186838"/>
    <n v="639"/>
    <n v="197466.64999999991"/>
  </r>
  <r>
    <s v="P099"/>
    <s v="Bluetooth Speaker 099"/>
    <x v="4"/>
    <n v="219"/>
    <n v="15"/>
    <n v="204"/>
    <n v="6685407.4000000004"/>
    <n v="5325828"/>
    <n v="2443"/>
    <n v="1357136.4000000004"/>
  </r>
  <r>
    <s v="P100"/>
    <s v="Storage Cabinet 100"/>
    <x v="3"/>
    <n v="218"/>
    <n v="9"/>
    <n v="209"/>
    <n v="938405.1"/>
    <n v="811338"/>
    <n v="914"/>
    <n v="126153.09999999998"/>
  </r>
</pivotCacheRecords>
</file>

<file path=xl/pivotCache/pivotCacheRecords2.xml><?xml version="1.0" encoding="utf-8"?>
<pivotCacheRecords xmlns="http://schemas.openxmlformats.org/spreadsheetml/2006/main" xmlns:r="http://schemas.openxmlformats.org/officeDocument/2006/relationships" count="100">
  <r>
    <s v="P001"/>
    <x v="0"/>
    <s v="Books"/>
    <n v="204"/>
    <n v="5"/>
    <n v="199"/>
    <n v="305755.7"/>
    <n v="226661"/>
    <n v="351"/>
    <n v="78743.700000000012"/>
  </r>
  <r>
    <s v="P002"/>
    <x v="1"/>
    <s v="Clothing"/>
    <n v="188"/>
    <n v="8"/>
    <n v="180"/>
    <n v="653696.4"/>
    <n v="482040"/>
    <n v="1125"/>
    <n v="170531.40000000002"/>
  </r>
  <r>
    <s v="P003"/>
    <x v="2"/>
    <s v="Accessories"/>
    <n v="215"/>
    <n v="4"/>
    <n v="211"/>
    <n v="1434500"/>
    <n v="1039175"/>
    <n v="977"/>
    <n v="394348"/>
  </r>
  <r>
    <s v="P004"/>
    <x v="3"/>
    <s v="Clothing"/>
    <n v="238"/>
    <n v="10"/>
    <n v="228"/>
    <n v="434035.20000000001"/>
    <n v="377340"/>
    <n v="1848"/>
    <n v="54847.200000000012"/>
  </r>
  <r>
    <s v="P005"/>
    <x v="4"/>
    <s v="Books"/>
    <n v="212"/>
    <n v="11"/>
    <n v="201"/>
    <n v="66229.25"/>
    <n v="60903"/>
    <n v="812"/>
    <n v="4514.25"/>
  </r>
  <r>
    <s v="P006"/>
    <x v="5"/>
    <s v="Clothing"/>
    <n v="160"/>
    <n v="8"/>
    <n v="152"/>
    <n v="335065.8"/>
    <n v="242592"/>
    <n v="1873"/>
    <n v="90600.799999999988"/>
  </r>
  <r>
    <s v="P007"/>
    <x v="6"/>
    <s v="Furniture"/>
    <n v="212"/>
    <n v="12"/>
    <n v="200"/>
    <n v="2584455.6"/>
    <n v="1939800"/>
    <n v="2972"/>
    <n v="641683.60000000009"/>
  </r>
  <r>
    <s v="P008"/>
    <x v="7"/>
    <s v="Electronics"/>
    <n v="171"/>
    <n v="2"/>
    <n v="169"/>
    <n v="7890173.5999999996"/>
    <n v="6292715"/>
    <n v="199"/>
    <n v="1597259.5999999996"/>
  </r>
  <r>
    <s v="P009"/>
    <x v="8"/>
    <s v="Accessories"/>
    <n v="193"/>
    <n v="6"/>
    <n v="187"/>
    <n v="876546"/>
    <n v="723503"/>
    <n v="1846"/>
    <n v="151197"/>
  </r>
  <r>
    <s v="P010"/>
    <x v="9"/>
    <s v="Clothing"/>
    <n v="182"/>
    <n v="8"/>
    <n v="174"/>
    <n v="430317.9"/>
    <n v="363138"/>
    <n v="1495"/>
    <n v="65684.900000000023"/>
  </r>
  <r>
    <s v="P011"/>
    <x v="10"/>
    <s v="Clothing"/>
    <n v="242"/>
    <n v="15"/>
    <n v="227"/>
    <n v="894484.85"/>
    <n v="734572"/>
    <n v="1738"/>
    <n v="158174.84999999998"/>
  </r>
  <r>
    <s v="P012"/>
    <x v="11"/>
    <s v="Furniture"/>
    <n v="209"/>
    <n v="6"/>
    <n v="203"/>
    <n v="2686909.7"/>
    <n v="1913681"/>
    <n v="1636"/>
    <n v="771592.70000000019"/>
  </r>
  <r>
    <s v="P013"/>
    <x v="12"/>
    <s v="Electronics"/>
    <n v="216"/>
    <n v="13"/>
    <n v="203"/>
    <n v="7137092.25"/>
    <n v="5944246"/>
    <n v="2252"/>
    <n v="1190594.25"/>
  </r>
  <r>
    <s v="P014"/>
    <x v="13"/>
    <s v="Clothing"/>
    <n v="204"/>
    <n v="4"/>
    <n v="200"/>
    <n v="778189.5"/>
    <n v="613000"/>
    <n v="355"/>
    <n v="164834.5"/>
  </r>
  <r>
    <s v="P015"/>
    <x v="14"/>
    <s v="Accessories"/>
    <n v="272"/>
    <n v="15"/>
    <n v="257"/>
    <n v="451902.1"/>
    <n v="348235"/>
    <n v="2319"/>
    <n v="101348.09999999998"/>
  </r>
  <r>
    <s v="P016"/>
    <x v="15"/>
    <s v="Furniture"/>
    <n v="179"/>
    <n v="10"/>
    <n v="169"/>
    <n v="2755836"/>
    <n v="2383238"/>
    <n v="2397"/>
    <n v="370201"/>
  </r>
  <r>
    <s v="P017"/>
    <x v="16"/>
    <s v="Electronics"/>
    <n v="223"/>
    <n v="7"/>
    <n v="216"/>
    <n v="8789455"/>
    <n v="7633440"/>
    <n v="1048"/>
    <n v="1154967"/>
  </r>
  <r>
    <s v="P018"/>
    <x v="17"/>
    <s v="Clothing"/>
    <n v="186"/>
    <n v="13"/>
    <n v="173"/>
    <n v="206325.6"/>
    <n v="166080"/>
    <n v="2529"/>
    <n v="37716.600000000006"/>
  </r>
  <r>
    <s v="P019"/>
    <x v="18"/>
    <s v="Shoes"/>
    <n v="204"/>
    <n v="0"/>
    <n v="204"/>
    <n v="1288445.6000000001"/>
    <n v="1070388"/>
    <n v="0"/>
    <n v="218057.60000000009"/>
  </r>
  <r>
    <s v="P020"/>
    <x v="19"/>
    <s v="Furniture"/>
    <n v="151"/>
    <n v="4"/>
    <n v="147"/>
    <n v="866783.6"/>
    <n v="687960"/>
    <n v="1080"/>
    <n v="177743.59999999998"/>
  </r>
  <r>
    <s v="P021"/>
    <x v="20"/>
    <s v="Books"/>
    <n v="192"/>
    <n v="6"/>
    <n v="186"/>
    <n v="128122.8"/>
    <n v="116064"/>
    <n v="1650"/>
    <n v="10408.800000000003"/>
  </r>
  <r>
    <s v="P022"/>
    <x v="21"/>
    <s v="Electronics"/>
    <n v="198"/>
    <n v="6"/>
    <n v="192"/>
    <n v="3399890.4"/>
    <n v="2893440"/>
    <n v="1103"/>
    <n v="505347.39999999991"/>
  </r>
  <r>
    <s v="P023"/>
    <x v="22"/>
    <s v="Furniture"/>
    <n v="229"/>
    <n v="7"/>
    <n v="222"/>
    <n v="1981586.1"/>
    <n v="1801308"/>
    <n v="2144"/>
    <n v="178134.10000000009"/>
  </r>
  <r>
    <s v="P024"/>
    <x v="23"/>
    <s v="Shoes"/>
    <n v="184"/>
    <n v="6"/>
    <n v="178"/>
    <n v="1048287.5"/>
    <n v="956928"/>
    <n v="1529"/>
    <n v="89830.5"/>
  </r>
  <r>
    <s v="P025"/>
    <x v="24"/>
    <s v="Books"/>
    <n v="184"/>
    <n v="8"/>
    <n v="176"/>
    <n v="165201"/>
    <n v="145904"/>
    <n v="548"/>
    <n v="18749"/>
  </r>
  <r>
    <s v="P026"/>
    <x v="25"/>
    <s v="Accessories"/>
    <n v="209"/>
    <n v="5"/>
    <n v="204"/>
    <n v="157079"/>
    <n v="120564"/>
    <n v="1528"/>
    <n v="34987"/>
  </r>
  <r>
    <s v="P027"/>
    <x v="26"/>
    <s v="Clothing"/>
    <n v="185"/>
    <n v="4"/>
    <n v="181"/>
    <n v="678296.3"/>
    <n v="560738"/>
    <n v="721"/>
    <n v="116837.30000000005"/>
  </r>
  <r>
    <s v="P028"/>
    <x v="27"/>
    <s v="Furniture"/>
    <n v="214"/>
    <n v="8"/>
    <n v="206"/>
    <n v="1431978.8"/>
    <n v="1019700"/>
    <n v="1946"/>
    <n v="410332.80000000005"/>
  </r>
  <r>
    <s v="P029"/>
    <x v="28"/>
    <s v="Books"/>
    <n v="226"/>
    <n v="8"/>
    <n v="218"/>
    <n v="239336.85"/>
    <n v="196636"/>
    <n v="1375"/>
    <n v="41325.850000000006"/>
  </r>
  <r>
    <s v="P030"/>
    <x v="29"/>
    <s v="Furniture"/>
    <n v="170"/>
    <n v="5"/>
    <n v="165"/>
    <n v="2908405"/>
    <n v="2316765"/>
    <n v="446"/>
    <n v="591194"/>
  </r>
  <r>
    <s v="P031"/>
    <x v="30"/>
    <s v="Books"/>
    <n v="190"/>
    <n v="6"/>
    <n v="184"/>
    <n v="381319.2"/>
    <n v="318872"/>
    <n v="1706"/>
    <n v="60741.200000000012"/>
  </r>
  <r>
    <s v="P032"/>
    <x v="31"/>
    <s v="Shoes"/>
    <n v="230"/>
    <n v="5"/>
    <n v="225"/>
    <n v="1920643.15"/>
    <n v="1474200"/>
    <n v="828"/>
    <n v="445615.14999999991"/>
  </r>
  <r>
    <s v="P033"/>
    <x v="32"/>
    <s v="Electronics"/>
    <n v="179"/>
    <n v="6"/>
    <n v="173"/>
    <n v="4248358.4000000004"/>
    <n v="3699259"/>
    <n v="1208"/>
    <n v="547891.40000000037"/>
  </r>
  <r>
    <s v="P034"/>
    <x v="33"/>
    <s v="Electronics"/>
    <n v="171"/>
    <n v="0"/>
    <n v="171"/>
    <n v="7697026.7000000002"/>
    <n v="5768514"/>
    <n v="0"/>
    <n v="1928512.7000000002"/>
  </r>
  <r>
    <s v="P035"/>
    <x v="34"/>
    <s v="Clothing"/>
    <n v="207"/>
    <n v="11"/>
    <n v="196"/>
    <n v="565869"/>
    <n v="474320"/>
    <n v="2401"/>
    <n v="89148"/>
  </r>
  <r>
    <s v="P036"/>
    <x v="35"/>
    <s v="Shoes"/>
    <n v="221"/>
    <n v="12"/>
    <n v="209"/>
    <n v="317830.8"/>
    <n v="242440"/>
    <n v="1833"/>
    <n v="73557.799999999988"/>
  </r>
  <r>
    <s v="P037"/>
    <x v="36"/>
    <s v="Electronics"/>
    <n v="263"/>
    <n v="8"/>
    <n v="255"/>
    <n v="3065512.5"/>
    <n v="2674695"/>
    <n v="1817"/>
    <n v="389000.5"/>
  </r>
  <r>
    <s v="P038"/>
    <x v="37"/>
    <s v="Accessories"/>
    <n v="193"/>
    <n v="4"/>
    <n v="189"/>
    <n v="1311815.3999999999"/>
    <n v="982044"/>
    <n v="911"/>
    <n v="328860.39999999991"/>
  </r>
  <r>
    <s v="P039"/>
    <x v="38"/>
    <s v="Furniture"/>
    <n v="203"/>
    <n v="14"/>
    <n v="189"/>
    <n v="1338382.5"/>
    <n v="1189944"/>
    <n v="1352"/>
    <n v="147086.5"/>
  </r>
  <r>
    <s v="P040"/>
    <x v="39"/>
    <s v="Clothing"/>
    <n v="205"/>
    <n v="11"/>
    <n v="194"/>
    <n v="349490.4"/>
    <n v="250648"/>
    <n v="2100"/>
    <n v="96742.400000000023"/>
  </r>
  <r>
    <s v="P041"/>
    <x v="40"/>
    <s v="Shoes"/>
    <n v="213"/>
    <n v="3"/>
    <n v="210"/>
    <n v="680316"/>
    <n v="515550"/>
    <n v="1031"/>
    <n v="163735"/>
  </r>
  <r>
    <s v="P042"/>
    <x v="41"/>
    <s v="Clothing"/>
    <n v="176"/>
    <n v="8"/>
    <n v="168"/>
    <n v="653036.80000000005"/>
    <n v="581280"/>
    <n v="1879"/>
    <n v="69877.800000000047"/>
  </r>
  <r>
    <s v="P043"/>
    <x v="42"/>
    <s v="Furniture"/>
    <n v="162"/>
    <n v="4"/>
    <n v="158"/>
    <n v="2288212.6"/>
    <n v="1936764"/>
    <n v="413"/>
    <n v="351035.60000000009"/>
  </r>
  <r>
    <s v="P044"/>
    <x v="43"/>
    <s v="Clothing"/>
    <n v="211"/>
    <n v="2"/>
    <n v="209"/>
    <n v="214603.7"/>
    <n v="166991"/>
    <n v="800"/>
    <n v="46812.700000000012"/>
  </r>
  <r>
    <s v="P045"/>
    <x v="44"/>
    <s v="Accessories"/>
    <n v="184"/>
    <n v="3"/>
    <n v="181"/>
    <n v="540126"/>
    <n v="475668"/>
    <n v="670"/>
    <n v="63788"/>
  </r>
  <r>
    <s v="P046"/>
    <x v="45"/>
    <s v="Electronics"/>
    <n v="175"/>
    <n v="6"/>
    <n v="169"/>
    <n v="8151982.7999999998"/>
    <n v="6694259"/>
    <n v="1595"/>
    <n v="1456128.7999999998"/>
  </r>
  <r>
    <s v="P047"/>
    <x v="46"/>
    <s v="Electronics"/>
    <n v="200"/>
    <n v="6"/>
    <n v="194"/>
    <n v="4331294.4000000004"/>
    <n v="3337188"/>
    <n v="1382"/>
    <n v="992724.40000000037"/>
  </r>
  <r>
    <s v="P048"/>
    <x v="47"/>
    <s v="Accessories"/>
    <n v="214"/>
    <n v="6"/>
    <n v="208"/>
    <n v="1473056.25"/>
    <n v="1134224"/>
    <n v="1192"/>
    <n v="337640.25"/>
  </r>
  <r>
    <s v="P049"/>
    <x v="48"/>
    <s v="Clothing"/>
    <n v="199"/>
    <n v="5"/>
    <n v="194"/>
    <n v="289188.90000000002"/>
    <n v="205446"/>
    <n v="841"/>
    <n v="82901.900000000023"/>
  </r>
  <r>
    <s v="P050"/>
    <x v="49"/>
    <s v="Furniture"/>
    <n v="196"/>
    <n v="2"/>
    <n v="194"/>
    <n v="1975640.4"/>
    <n v="1413872"/>
    <n v="440"/>
    <n v="561328.39999999991"/>
  </r>
  <r>
    <s v="P051"/>
    <x v="50"/>
    <s v="Shoes"/>
    <n v="198"/>
    <n v="8"/>
    <n v="190"/>
    <n v="556276.6"/>
    <n v="491720"/>
    <n v="1680"/>
    <n v="62876.599999999977"/>
  </r>
  <r>
    <s v="P052"/>
    <x v="51"/>
    <s v="Clothing"/>
    <n v="193"/>
    <n v="9"/>
    <n v="184"/>
    <n v="797553.4"/>
    <n v="619344"/>
    <n v="1450"/>
    <n v="176759.40000000002"/>
  </r>
  <r>
    <s v="P053"/>
    <x v="52"/>
    <s v="Furniture"/>
    <n v="228"/>
    <n v="9"/>
    <n v="219"/>
    <n v="1382477.55"/>
    <n v="1230123"/>
    <n v="2657"/>
    <n v="149697.55000000005"/>
  </r>
  <r>
    <s v="P054"/>
    <x v="53"/>
    <s v="Shoes"/>
    <n v="203"/>
    <n v="9"/>
    <n v="194"/>
    <n v="695150.9"/>
    <n v="620800"/>
    <n v="1600"/>
    <n v="72750.900000000023"/>
  </r>
  <r>
    <s v="P055"/>
    <x v="54"/>
    <s v="Clothing"/>
    <n v="182"/>
    <n v="3"/>
    <n v="179"/>
    <n v="398685.1"/>
    <n v="310923"/>
    <n v="836"/>
    <n v="86926.099999999977"/>
  </r>
  <r>
    <s v="P056"/>
    <x v="55"/>
    <s v="Clothing"/>
    <n v="188"/>
    <n v="13"/>
    <n v="175"/>
    <n v="175067.55"/>
    <n v="136500"/>
    <n v="1897"/>
    <n v="36670.549999999988"/>
  </r>
  <r>
    <s v="P057"/>
    <x v="56"/>
    <s v="Accessories"/>
    <n v="162"/>
    <n v="8"/>
    <n v="154"/>
    <n v="537355.9"/>
    <n v="393470"/>
    <n v="1143"/>
    <n v="142742.90000000002"/>
  </r>
  <r>
    <s v="P058"/>
    <x v="57"/>
    <s v="Electronics"/>
    <n v="218"/>
    <n v="7"/>
    <n v="211"/>
    <n v="3907593.6"/>
    <n v="3426218"/>
    <n v="1239"/>
    <n v="480136.60000000009"/>
  </r>
  <r>
    <s v="P059"/>
    <x v="58"/>
    <s v="Clothing"/>
    <n v="198"/>
    <n v="15"/>
    <n v="183"/>
    <n v="200134"/>
    <n v="166347"/>
    <n v="2281"/>
    <n v="31506"/>
  </r>
  <r>
    <s v="P060"/>
    <x v="59"/>
    <s v="Electronics"/>
    <n v="248"/>
    <n v="8"/>
    <n v="240"/>
    <n v="3914918.4"/>
    <n v="3388320"/>
    <n v="957"/>
    <n v="525641.39999999991"/>
  </r>
  <r>
    <s v="P061"/>
    <x v="60"/>
    <s v="Furniture"/>
    <n v="220"/>
    <n v="14"/>
    <n v="206"/>
    <n v="4505294.9000000004"/>
    <n v="3521776"/>
    <n v="1432"/>
    <n v="982086.90000000037"/>
  </r>
  <r>
    <s v="P062"/>
    <x v="61"/>
    <s v="Books"/>
    <n v="181"/>
    <n v="1"/>
    <n v="180"/>
    <n v="122568.6"/>
    <n v="93420"/>
    <n v="220"/>
    <n v="28928.600000000006"/>
  </r>
  <r>
    <s v="P063"/>
    <x v="62"/>
    <s v="Clothing"/>
    <n v="248"/>
    <n v="9"/>
    <n v="239"/>
    <n v="184986"/>
    <n v="159174"/>
    <n v="2197"/>
    <n v="23615"/>
  </r>
  <r>
    <s v="P064"/>
    <x v="63"/>
    <s v="Clothing"/>
    <n v="199"/>
    <n v="12"/>
    <n v="187"/>
    <n v="335334.25"/>
    <n v="293777"/>
    <n v="2294"/>
    <n v="39263.25"/>
  </r>
  <r>
    <s v="P065"/>
    <x v="64"/>
    <s v="Furniture"/>
    <n v="174"/>
    <n v="7"/>
    <n v="167"/>
    <n v="2274655.5"/>
    <n v="1966926"/>
    <n v="2073"/>
    <n v="305656.5"/>
  </r>
  <r>
    <s v="P066"/>
    <x v="65"/>
    <s v="Accessories"/>
    <n v="199"/>
    <n v="7"/>
    <n v="192"/>
    <n v="1285440.6000000001"/>
    <n v="1101120"/>
    <n v="1603"/>
    <n v="182717.60000000009"/>
  </r>
  <r>
    <s v="P067"/>
    <x v="66"/>
    <s v="Clothing"/>
    <n v="212"/>
    <n v="7"/>
    <n v="205"/>
    <n v="784050.75"/>
    <n v="678550"/>
    <n v="1862"/>
    <n v="103638.75"/>
  </r>
  <r>
    <s v="P068"/>
    <x v="67"/>
    <s v="Furniture"/>
    <n v="204"/>
    <n v="5"/>
    <n v="199"/>
    <n v="766199.25"/>
    <n v="569339"/>
    <n v="924"/>
    <n v="195936.25"/>
  </r>
  <r>
    <s v="P069"/>
    <x v="68"/>
    <s v="Shoes"/>
    <n v="178"/>
    <n v="9"/>
    <n v="169"/>
    <n v="534911"/>
    <n v="438217"/>
    <n v="1437"/>
    <n v="95257"/>
  </r>
  <r>
    <s v="P070"/>
    <x v="69"/>
    <s v="Books"/>
    <n v="182"/>
    <n v="11"/>
    <n v="171"/>
    <n v="132140.25"/>
    <n v="109953"/>
    <n v="1255"/>
    <n v="20932.25"/>
  </r>
  <r>
    <s v="P071"/>
    <x v="70"/>
    <s v="Clothing"/>
    <n v="183"/>
    <n v="4"/>
    <n v="179"/>
    <n v="762091"/>
    <n v="562597"/>
    <n v="840"/>
    <n v="198654"/>
  </r>
  <r>
    <s v="P072"/>
    <x v="71"/>
    <s v="Clothing"/>
    <n v="219"/>
    <n v="9"/>
    <n v="210"/>
    <n v="211344"/>
    <n v="156240"/>
    <n v="1947"/>
    <n v="53157"/>
  </r>
  <r>
    <s v="P073"/>
    <x v="72"/>
    <s v="Furniture"/>
    <n v="220"/>
    <n v="3"/>
    <n v="217"/>
    <n v="2189286"/>
    <n v="1570646"/>
    <n v="586"/>
    <n v="618054"/>
  </r>
  <r>
    <s v="P074"/>
    <x v="73"/>
    <s v="Books"/>
    <n v="156"/>
    <n v="4"/>
    <n v="152"/>
    <n v="237101.25"/>
    <n v="206416"/>
    <n v="794"/>
    <n v="29891.25"/>
  </r>
  <r>
    <s v="P075"/>
    <x v="74"/>
    <s v="Shoes"/>
    <n v="231"/>
    <n v="5"/>
    <n v="226"/>
    <n v="1024622.5"/>
    <n v="876428"/>
    <n v="1017"/>
    <n v="147177.5"/>
  </r>
  <r>
    <s v="P076"/>
    <x v="75"/>
    <s v="Furniture"/>
    <n v="179"/>
    <n v="3"/>
    <n v="176"/>
    <n v="628627"/>
    <n v="552112"/>
    <n v="828"/>
    <n v="75687"/>
  </r>
  <r>
    <s v="P077"/>
    <x v="76"/>
    <s v="Electronics"/>
    <n v="241"/>
    <n v="13"/>
    <n v="228"/>
    <n v="5795604"/>
    <n v="4389456"/>
    <n v="2846"/>
    <n v="1403302"/>
  </r>
  <r>
    <s v="P078"/>
    <x v="77"/>
    <s v="Accessories"/>
    <n v="200"/>
    <n v="10"/>
    <n v="190"/>
    <n v="1172978.3999999999"/>
    <n v="1008710"/>
    <n v="2131"/>
    <n v="162137.39999999991"/>
  </r>
  <r>
    <s v="P079"/>
    <x v="78"/>
    <s v="Clothing"/>
    <n v="215"/>
    <n v="6"/>
    <n v="209"/>
    <n v="501777"/>
    <n v="415492"/>
    <n v="1289"/>
    <n v="84996"/>
  </r>
  <r>
    <s v="P080"/>
    <x v="79"/>
    <s v="Electronics"/>
    <n v="219"/>
    <n v="8"/>
    <n v="211"/>
    <n v="7330428.5999999996"/>
    <n v="5685817"/>
    <n v="1690"/>
    <n v="1642921.5999999996"/>
  </r>
  <r>
    <s v="P081"/>
    <x v="80"/>
    <s v="Electronics"/>
    <n v="217"/>
    <n v="13"/>
    <n v="204"/>
    <n v="10022567"/>
    <n v="8270160"/>
    <n v="2615"/>
    <n v="1749792"/>
  </r>
  <r>
    <s v="P082"/>
    <x v="81"/>
    <s v="Books"/>
    <n v="211"/>
    <n v="6"/>
    <n v="205"/>
    <n v="449004"/>
    <n v="327795"/>
    <n v="1144"/>
    <n v="120065"/>
  </r>
  <r>
    <s v="P083"/>
    <x v="82"/>
    <s v="Clothing"/>
    <n v="198"/>
    <n v="12"/>
    <n v="186"/>
    <n v="772922.95"/>
    <n v="603012"/>
    <n v="2751"/>
    <n v="167159.94999999995"/>
  </r>
  <r>
    <s v="P084"/>
    <x v="83"/>
    <s v="Shoes"/>
    <n v="194"/>
    <n v="6"/>
    <n v="188"/>
    <n v="1202417.1499999999"/>
    <n v="975720"/>
    <n v="1100"/>
    <n v="225597.14999999991"/>
  </r>
  <r>
    <s v="P085"/>
    <x v="84"/>
    <s v="Shoes"/>
    <n v="221"/>
    <n v="10"/>
    <n v="211"/>
    <n v="347565.8"/>
    <n v="262695"/>
    <n v="2279"/>
    <n v="82591.799999999988"/>
  </r>
  <r>
    <s v="P086"/>
    <x v="85"/>
    <s v="Electronics"/>
    <n v="192"/>
    <n v="6"/>
    <n v="186"/>
    <n v="1181281.7"/>
    <n v="1029138"/>
    <n v="1235"/>
    <n v="150908.69999999995"/>
  </r>
  <r>
    <s v="P087"/>
    <x v="86"/>
    <s v="Furniture"/>
    <n v="209"/>
    <n v="7"/>
    <n v="202"/>
    <n v="2861287"/>
    <n v="2559542"/>
    <n v="1917"/>
    <n v="299828"/>
  </r>
  <r>
    <s v="P088"/>
    <x v="87"/>
    <s v="Books"/>
    <n v="199"/>
    <n v="3"/>
    <n v="196"/>
    <n v="60254.7"/>
    <n v="52332"/>
    <n v="717"/>
    <n v="7205.6999999999971"/>
  </r>
  <r>
    <s v="P089"/>
    <x v="88"/>
    <s v="Clothing"/>
    <n v="217"/>
    <n v="2"/>
    <n v="215"/>
    <n v="964707.3"/>
    <n v="710575"/>
    <n v="345"/>
    <n v="253787.30000000005"/>
  </r>
  <r>
    <s v="P090"/>
    <x v="89"/>
    <s v="Furniture"/>
    <n v="215"/>
    <n v="5"/>
    <n v="210"/>
    <n v="1860466.4"/>
    <n v="1494780"/>
    <n v="1533"/>
    <n v="364153.39999999991"/>
  </r>
  <r>
    <s v="P091"/>
    <x v="90"/>
    <s v="Shoes"/>
    <n v="187"/>
    <n v="8"/>
    <n v="179"/>
    <n v="991076.15"/>
    <n v="884260"/>
    <n v="2098"/>
    <n v="104718.15000000002"/>
  </r>
  <r>
    <s v="P092"/>
    <x v="91"/>
    <s v="Furniture"/>
    <n v="191"/>
    <n v="4"/>
    <n v="187"/>
    <n v="3693278"/>
    <n v="3236970"/>
    <n v="1195"/>
    <n v="455113"/>
  </r>
  <r>
    <s v="P093"/>
    <x v="92"/>
    <s v="Electronics"/>
    <n v="182"/>
    <n v="9"/>
    <n v="173"/>
    <n v="7652848.5"/>
    <n v="6899586"/>
    <n v="2204"/>
    <n v="751058.5"/>
  </r>
  <r>
    <s v="P094"/>
    <x v="93"/>
    <s v="Shoes"/>
    <n v="220"/>
    <n v="5"/>
    <n v="215"/>
    <n v="854196.6"/>
    <n v="658545"/>
    <n v="1010"/>
    <n v="194641.59999999998"/>
  </r>
  <r>
    <s v="P095"/>
    <x v="94"/>
    <s v="Accessories"/>
    <n v="216"/>
    <n v="10"/>
    <n v="206"/>
    <n v="208840"/>
    <n v="155324"/>
    <n v="2246"/>
    <n v="51270"/>
  </r>
  <r>
    <s v="P096"/>
    <x v="95"/>
    <s v="Clothing"/>
    <n v="190"/>
    <n v="10"/>
    <n v="180"/>
    <n v="330720"/>
    <n v="273960"/>
    <n v="2108"/>
    <n v="54652"/>
  </r>
  <r>
    <s v="P097"/>
    <x v="96"/>
    <s v="Electronics"/>
    <n v="190"/>
    <n v="9"/>
    <n v="181"/>
    <n v="1019018.7"/>
    <n v="911154"/>
    <n v="2120"/>
    <n v="105744.69999999995"/>
  </r>
  <r>
    <s v="P098"/>
    <x v="97"/>
    <s v="Furniture"/>
    <n v="167"/>
    <n v="5"/>
    <n v="162"/>
    <n v="2384943.65"/>
    <n v="2186838"/>
    <n v="639"/>
    <n v="197466.64999999991"/>
  </r>
  <r>
    <s v="P099"/>
    <x v="98"/>
    <s v="Electronics"/>
    <n v="219"/>
    <n v="15"/>
    <n v="204"/>
    <n v="6685407.4000000004"/>
    <n v="5325828"/>
    <n v="2443"/>
    <n v="1357136.4000000004"/>
  </r>
  <r>
    <s v="P100"/>
    <x v="99"/>
    <s v="Furniture"/>
    <n v="218"/>
    <n v="9"/>
    <n v="209"/>
    <n v="938405.1"/>
    <n v="811338"/>
    <n v="914"/>
    <n v="126153.0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4:B21" firstHeaderRow="1" firstDataRow="1" firstDataCol="1"/>
  <pivotFields count="11">
    <pivotField showAll="0"/>
    <pivotField showAll="0"/>
    <pivotField axis="axisRow" showAll="0" sortType="de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dragToRow="0" dragToCol="0" dragToPage="0" showAll="0" defaultSubtotal="0"/>
  </pivotFields>
  <rowFields count="1">
    <field x="2"/>
  </rowFields>
  <rowItems count="7">
    <i>
      <x v="3"/>
    </i>
    <i>
      <x v="4"/>
    </i>
    <i>
      <x v="2"/>
    </i>
    <i>
      <x v="5"/>
    </i>
    <i>
      <x/>
    </i>
    <i>
      <x v="1"/>
    </i>
    <i t="grand">
      <x/>
    </i>
  </rowItems>
  <colItems count="1">
    <i/>
  </colItems>
  <dataFields count="1">
    <dataField name="Sum of Net_Sales" fld="6" baseField="2" baseItem="3" numFmtId="164"/>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0" firstHeaderRow="0" firstDataRow="1" firstDataCol="1"/>
  <pivotFields count="11">
    <pivotField showAll="0"/>
    <pivotField showAll="0"/>
    <pivotField axis="axisRow" showAll="0" sortType="descending">
      <items count="7">
        <item x="2"/>
        <item x="0"/>
        <item x="1"/>
        <item x="4"/>
        <item x="3"/>
        <item x="5"/>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dataField="1" showAll="0"/>
    <pivotField showAll="0"/>
    <pivotField showAll="0"/>
    <pivotField dataField="1" showAll="0"/>
    <pivotField dataField="1" dragToRow="0" dragToCol="0" dragToPage="0" showAll="0" defaultSubtotal="0"/>
  </pivotFields>
  <rowFields count="1">
    <field x="2"/>
  </rowFields>
  <rowItems count="7">
    <i>
      <x v="2"/>
    </i>
    <i>
      <x v="4"/>
    </i>
    <i>
      <x v="3"/>
    </i>
    <i>
      <x v="5"/>
    </i>
    <i>
      <x/>
    </i>
    <i>
      <x v="1"/>
    </i>
    <i t="grand">
      <x/>
    </i>
  </rowItems>
  <colFields count="1">
    <field x="-2"/>
  </colFields>
  <colItems count="4">
    <i>
      <x/>
    </i>
    <i i="1">
      <x v="1"/>
    </i>
    <i i="2">
      <x v="2"/>
    </i>
    <i i="3">
      <x v="3"/>
    </i>
  </colItems>
  <dataFields count="4">
    <dataField name="Sum of Net_Sales" fld="6" baseField="2" baseItem="2" numFmtId="164"/>
    <dataField name="Sum of Quantity_Returned" fld="4" baseField="2" baseItem="2" numFmtId="1"/>
    <dataField name="Sum of Profit" fld="9" baseField="2" baseItem="2" numFmtId="164"/>
    <dataField name="Sum of Return Rate" fld="10" baseField="2"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4" firstHeaderRow="0" firstDataRow="1" firstDataCol="1"/>
  <pivotFields count="10">
    <pivotField showAll="0"/>
    <pivotField axis="axisRow" showAll="0" measureFilter="1" sortType="descending">
      <items count="101">
        <item x="33"/>
        <item x="8"/>
        <item x="44"/>
        <item x="47"/>
        <item x="59"/>
        <item x="76"/>
        <item x="98"/>
        <item x="22"/>
        <item x="29"/>
        <item x="42"/>
        <item x="20"/>
        <item x="24"/>
        <item x="30"/>
        <item x="1"/>
        <item x="3"/>
        <item x="39"/>
        <item x="55"/>
        <item x="62"/>
        <item x="70"/>
        <item x="82"/>
        <item x="88"/>
        <item x="95"/>
        <item x="13"/>
        <item x="17"/>
        <item x="63"/>
        <item x="15"/>
        <item x="64"/>
        <item x="72"/>
        <item x="86"/>
        <item x="0"/>
        <item x="69"/>
        <item x="73"/>
        <item x="87"/>
        <item x="5"/>
        <item x="9"/>
        <item x="41"/>
        <item x="43"/>
        <item x="54"/>
        <item x="66"/>
        <item x="71"/>
        <item x="78"/>
        <item x="18"/>
        <item x="21"/>
        <item x="36"/>
        <item x="96"/>
        <item x="14"/>
        <item x="25"/>
        <item x="77"/>
        <item x="28"/>
        <item x="81"/>
        <item x="11"/>
        <item x="49"/>
        <item x="60"/>
        <item x="75"/>
        <item x="10"/>
        <item x="34"/>
        <item x="48"/>
        <item x="57"/>
        <item x="79"/>
        <item x="80"/>
        <item x="4"/>
        <item x="61"/>
        <item x="31"/>
        <item x="35"/>
        <item x="50"/>
        <item x="90"/>
        <item x="23"/>
        <item x="40"/>
        <item x="84"/>
        <item x="2"/>
        <item x="37"/>
        <item x="65"/>
        <item x="94"/>
        <item x="16"/>
        <item x="32"/>
        <item x="46"/>
        <item x="68"/>
        <item x="93"/>
        <item x="53"/>
        <item x="74"/>
        <item x="83"/>
        <item x="6"/>
        <item x="27"/>
        <item x="89"/>
        <item x="91"/>
        <item x="99"/>
        <item x="19"/>
        <item x="38"/>
        <item x="52"/>
        <item x="67"/>
        <item x="97"/>
        <item x="56"/>
        <item x="26"/>
        <item x="51"/>
        <item x="58"/>
        <item x="7"/>
        <item x="12"/>
        <item x="45"/>
        <item x="85"/>
        <item x="9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dataField="1" numFmtId="164" showAll="0"/>
    <pivotField numFmtId="164" showAll="0"/>
    <pivotField showAll="0"/>
    <pivotField dataField="1" numFmtId="164" showAll="0"/>
  </pivotFields>
  <rowFields count="1">
    <field x="1"/>
  </rowFields>
  <rowItems count="11">
    <i>
      <x/>
    </i>
    <i>
      <x v="59"/>
    </i>
    <i>
      <x v="58"/>
    </i>
    <i>
      <x v="95"/>
    </i>
    <i>
      <x v="97"/>
    </i>
    <i>
      <x v="5"/>
    </i>
    <i>
      <x v="6"/>
    </i>
    <i>
      <x v="96"/>
    </i>
    <i>
      <x v="73"/>
    </i>
    <i>
      <x v="75"/>
    </i>
    <i t="grand">
      <x/>
    </i>
  </rowItems>
  <colFields count="1">
    <field x="-2"/>
  </colFields>
  <colItems count="4">
    <i>
      <x/>
    </i>
    <i i="1">
      <x v="1"/>
    </i>
    <i i="2">
      <x v="2"/>
    </i>
    <i i="3">
      <x v="3"/>
    </i>
  </colItems>
  <dataFields count="4">
    <dataField name="Sum of Profit" fld="9" baseField="1" baseItem="0" numFmtId="164"/>
    <dataField name="Sum of Net_Sales" fld="6" baseField="1" baseItem="0" numFmtId="164"/>
    <dataField name="Sum of Quantity_Sold" fld="5" baseField="0" baseItem="0"/>
    <dataField name="Sum of Quantity_Returned" fld="4" baseField="0" baseItem="0"/>
  </dataFields>
  <formats count="3">
    <format dxfId="4">
      <pivotArea field="1" grandRow="1" outline="0" collapsedLevelsAreSubtotals="1" axis="axisRow" fieldPosition="0">
        <references count="1">
          <reference field="4294967294" count="1" selected="0">
            <x v="0"/>
          </reference>
        </references>
      </pivotArea>
    </format>
    <format dxfId="3">
      <pivotArea outline="0" fieldPosition="0">
        <references count="1">
          <reference field="4294967294" count="1">
            <x v="0"/>
          </reference>
        </references>
      </pivotArea>
    </format>
    <format dxfId="0">
      <pivotArea outline="0" fieldPosition="0">
        <references count="1">
          <reference field="4294967294" count="1">
            <x v="1"/>
          </reference>
        </references>
      </pivotArea>
    </format>
  </formats>
  <conditionalFormats count="1">
    <conditionalFormat scope="field" priority="1">
      <pivotAreas count="1">
        <pivotArea outline="0" collapsedLevelsAreSubtotals="1" fieldPosition="0">
          <references count="2">
            <reference field="4294967294" count="1" selected="0">
              <x v="0"/>
            </reference>
            <reference field="1" count="0" selected="0"/>
          </references>
        </pivotArea>
      </pivotAreas>
    </conditionalFormat>
  </conditional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2"/>
  </pivotTables>
  <data>
    <tabular pivotCacheId="2">
      <items count="6">
        <i x="2" s="1"/>
        <i x="0" s="1"/>
        <i x="1" s="1"/>
        <i x="4"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s>
</file>

<file path=xl/tables/table1.xml><?xml version="1.0" encoding="utf-8"?>
<table xmlns="http://schemas.openxmlformats.org/spreadsheetml/2006/main" id="2" name="ProductData" displayName="ProductData" ref="A1:J101" totalsRowShown="0" headerRowDxfId="8">
  <autoFilter ref="A1:J101"/>
  <tableColumns count="10">
    <tableColumn id="1" name="Product_ID"/>
    <tableColumn id="2" name="Product_Name"/>
    <tableColumn id="3" name="Category"/>
    <tableColumn id="4" name="Quantity_Ordered"/>
    <tableColumn id="5" name="Quantity_Returned"/>
    <tableColumn id="6" name="Quantity_Sold"/>
    <tableColumn id="7" name="Net_Sales" dataDxfId="7"/>
    <tableColumn id="8" name="Total_Cost_Price" dataDxfId="6"/>
    <tableColumn id="9" name="Total_Return_Cost"/>
    <tableColumn id="10" name="Profit" dataDxfId="5">
      <calculatedColumnFormula>G2-H2-I2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selection activeCell="L15" sqref="L15"/>
    </sheetView>
  </sheetViews>
  <sheetFormatPr defaultRowHeight="14.4" x14ac:dyDescent="0.3"/>
  <cols>
    <col min="1" max="1" width="12.6640625" bestFit="1" customWidth="1"/>
    <col min="2" max="2" width="26.44140625" bestFit="1" customWidth="1"/>
    <col min="3" max="3" width="10.44140625" customWidth="1"/>
    <col min="4" max="4" width="18.5546875" bestFit="1" customWidth="1"/>
    <col min="5" max="5" width="19.5546875" bestFit="1" customWidth="1"/>
    <col min="6" max="6" width="15.33203125" bestFit="1" customWidth="1"/>
    <col min="7" max="7" width="14.44140625" bestFit="1" customWidth="1"/>
    <col min="8" max="8" width="17.33203125" bestFit="1" customWidth="1"/>
    <col min="9" max="9" width="18.88671875" bestFit="1" customWidth="1"/>
    <col min="10" max="10" width="12.88671875" bestFit="1" customWidth="1"/>
  </cols>
  <sheetData>
    <row r="1" spans="1:10" x14ac:dyDescent="0.3">
      <c r="A1" t="s">
        <v>0</v>
      </c>
      <c r="B1" t="s">
        <v>1</v>
      </c>
      <c r="C1" t="s">
        <v>2</v>
      </c>
      <c r="D1" t="s">
        <v>3</v>
      </c>
      <c r="E1" t="s">
        <v>4</v>
      </c>
      <c r="F1" t="s">
        <v>5</v>
      </c>
      <c r="G1" s="1" t="s">
        <v>6</v>
      </c>
      <c r="H1" s="1" t="s">
        <v>7</v>
      </c>
      <c r="I1" t="s">
        <v>8</v>
      </c>
      <c r="J1" s="1" t="s">
        <v>9</v>
      </c>
    </row>
    <row r="2" spans="1:10" x14ac:dyDescent="0.3">
      <c r="A2" t="s">
        <v>10</v>
      </c>
      <c r="B2" t="s">
        <v>11</v>
      </c>
      <c r="C2" t="s">
        <v>12</v>
      </c>
      <c r="D2">
        <v>204</v>
      </c>
      <c r="E2">
        <v>5</v>
      </c>
      <c r="F2">
        <v>199</v>
      </c>
      <c r="G2" s="1">
        <v>305755.7</v>
      </c>
      <c r="H2" s="1">
        <v>226661</v>
      </c>
      <c r="I2">
        <v>351</v>
      </c>
      <c r="J2" s="1">
        <f t="shared" ref="J2:J65" si="0">G2-H2-I2</f>
        <v>78743.700000000012</v>
      </c>
    </row>
    <row r="3" spans="1:10" x14ac:dyDescent="0.3">
      <c r="A3" t="s">
        <v>13</v>
      </c>
      <c r="B3" t="s">
        <v>14</v>
      </c>
      <c r="C3" t="s">
        <v>15</v>
      </c>
      <c r="D3">
        <v>188</v>
      </c>
      <c r="E3">
        <v>8</v>
      </c>
      <c r="F3">
        <v>180</v>
      </c>
      <c r="G3" s="1">
        <v>653696.4</v>
      </c>
      <c r="H3" s="1">
        <v>482040</v>
      </c>
      <c r="I3">
        <v>1125</v>
      </c>
      <c r="J3" s="1">
        <f t="shared" si="0"/>
        <v>170531.40000000002</v>
      </c>
    </row>
    <row r="4" spans="1:10" x14ac:dyDescent="0.3">
      <c r="A4" t="s">
        <v>16</v>
      </c>
      <c r="B4" t="s">
        <v>17</v>
      </c>
      <c r="C4" t="s">
        <v>18</v>
      </c>
      <c r="D4">
        <v>215</v>
      </c>
      <c r="E4">
        <v>4</v>
      </c>
      <c r="F4">
        <v>211</v>
      </c>
      <c r="G4" s="1">
        <v>1434500</v>
      </c>
      <c r="H4" s="1">
        <v>1039175</v>
      </c>
      <c r="I4">
        <v>977</v>
      </c>
      <c r="J4" s="1">
        <f t="shared" si="0"/>
        <v>394348</v>
      </c>
    </row>
    <row r="5" spans="1:10" x14ac:dyDescent="0.3">
      <c r="A5" t="s">
        <v>19</v>
      </c>
      <c r="B5" t="s">
        <v>20</v>
      </c>
      <c r="C5" t="s">
        <v>15</v>
      </c>
      <c r="D5">
        <v>238</v>
      </c>
      <c r="E5">
        <v>10</v>
      </c>
      <c r="F5">
        <v>228</v>
      </c>
      <c r="G5" s="1">
        <v>434035.20000000001</v>
      </c>
      <c r="H5" s="1">
        <v>377340</v>
      </c>
      <c r="I5">
        <v>1848</v>
      </c>
      <c r="J5" s="1">
        <f t="shared" si="0"/>
        <v>54847.200000000012</v>
      </c>
    </row>
    <row r="6" spans="1:10" x14ac:dyDescent="0.3">
      <c r="A6" t="s">
        <v>21</v>
      </c>
      <c r="B6" t="s">
        <v>22</v>
      </c>
      <c r="C6" t="s">
        <v>12</v>
      </c>
      <c r="D6">
        <v>212</v>
      </c>
      <c r="E6">
        <v>11</v>
      </c>
      <c r="F6">
        <v>201</v>
      </c>
      <c r="G6" s="1">
        <v>66229.25</v>
      </c>
      <c r="H6" s="1">
        <v>60903</v>
      </c>
      <c r="I6">
        <v>812</v>
      </c>
      <c r="J6" s="1">
        <f t="shared" si="0"/>
        <v>4514.25</v>
      </c>
    </row>
    <row r="7" spans="1:10" x14ac:dyDescent="0.3">
      <c r="A7" t="s">
        <v>23</v>
      </c>
      <c r="B7" t="s">
        <v>24</v>
      </c>
      <c r="C7" t="s">
        <v>15</v>
      </c>
      <c r="D7">
        <v>160</v>
      </c>
      <c r="E7">
        <v>8</v>
      </c>
      <c r="F7">
        <v>152</v>
      </c>
      <c r="G7" s="1">
        <v>335065.8</v>
      </c>
      <c r="H7" s="1">
        <v>242592</v>
      </c>
      <c r="I7">
        <v>1873</v>
      </c>
      <c r="J7" s="1">
        <f t="shared" si="0"/>
        <v>90600.799999999988</v>
      </c>
    </row>
    <row r="8" spans="1:10" x14ac:dyDescent="0.3">
      <c r="A8" t="s">
        <v>25</v>
      </c>
      <c r="B8" t="s">
        <v>26</v>
      </c>
      <c r="C8" t="s">
        <v>27</v>
      </c>
      <c r="D8">
        <v>212</v>
      </c>
      <c r="E8">
        <v>12</v>
      </c>
      <c r="F8">
        <v>200</v>
      </c>
      <c r="G8" s="1">
        <v>2584455.6</v>
      </c>
      <c r="H8" s="1">
        <v>1939800</v>
      </c>
      <c r="I8">
        <v>2972</v>
      </c>
      <c r="J8" s="1">
        <f t="shared" si="0"/>
        <v>641683.60000000009</v>
      </c>
    </row>
    <row r="9" spans="1:10" x14ac:dyDescent="0.3">
      <c r="A9" t="s">
        <v>28</v>
      </c>
      <c r="B9" t="s">
        <v>29</v>
      </c>
      <c r="C9" t="s">
        <v>30</v>
      </c>
      <c r="D9">
        <v>171</v>
      </c>
      <c r="E9">
        <v>2</v>
      </c>
      <c r="F9">
        <v>169</v>
      </c>
      <c r="G9" s="1">
        <v>7890173.5999999996</v>
      </c>
      <c r="H9" s="1">
        <v>6292715</v>
      </c>
      <c r="I9">
        <v>199</v>
      </c>
      <c r="J9" s="1">
        <f t="shared" si="0"/>
        <v>1597259.5999999996</v>
      </c>
    </row>
    <row r="10" spans="1:10" x14ac:dyDescent="0.3">
      <c r="A10" t="s">
        <v>31</v>
      </c>
      <c r="B10" t="s">
        <v>32</v>
      </c>
      <c r="C10" t="s">
        <v>18</v>
      </c>
      <c r="D10">
        <v>193</v>
      </c>
      <c r="E10">
        <v>6</v>
      </c>
      <c r="F10">
        <v>187</v>
      </c>
      <c r="G10" s="1">
        <v>876546</v>
      </c>
      <c r="H10" s="1">
        <v>723503</v>
      </c>
      <c r="I10">
        <v>1846</v>
      </c>
      <c r="J10" s="1">
        <f t="shared" si="0"/>
        <v>151197</v>
      </c>
    </row>
    <row r="11" spans="1:10" x14ac:dyDescent="0.3">
      <c r="A11" t="s">
        <v>33</v>
      </c>
      <c r="B11" t="s">
        <v>34</v>
      </c>
      <c r="C11" t="s">
        <v>15</v>
      </c>
      <c r="D11">
        <v>182</v>
      </c>
      <c r="E11">
        <v>8</v>
      </c>
      <c r="F11">
        <v>174</v>
      </c>
      <c r="G11" s="1">
        <v>430317.9</v>
      </c>
      <c r="H11" s="1">
        <v>363138</v>
      </c>
      <c r="I11">
        <v>1495</v>
      </c>
      <c r="J11" s="1">
        <f t="shared" si="0"/>
        <v>65684.900000000023</v>
      </c>
    </row>
    <row r="12" spans="1:10" x14ac:dyDescent="0.3">
      <c r="A12" t="s">
        <v>35</v>
      </c>
      <c r="B12" t="s">
        <v>36</v>
      </c>
      <c r="C12" t="s">
        <v>15</v>
      </c>
      <c r="D12">
        <v>242</v>
      </c>
      <c r="E12">
        <v>15</v>
      </c>
      <c r="F12">
        <v>227</v>
      </c>
      <c r="G12" s="1">
        <v>894484.85</v>
      </c>
      <c r="H12" s="1">
        <v>734572</v>
      </c>
      <c r="I12">
        <v>1738</v>
      </c>
      <c r="J12" s="1">
        <f t="shared" si="0"/>
        <v>158174.84999999998</v>
      </c>
    </row>
    <row r="13" spans="1:10" x14ac:dyDescent="0.3">
      <c r="A13" t="s">
        <v>37</v>
      </c>
      <c r="B13" t="s">
        <v>38</v>
      </c>
      <c r="C13" t="s">
        <v>27</v>
      </c>
      <c r="D13">
        <v>209</v>
      </c>
      <c r="E13">
        <v>6</v>
      </c>
      <c r="F13">
        <v>203</v>
      </c>
      <c r="G13" s="1">
        <v>2686909.7</v>
      </c>
      <c r="H13" s="1">
        <v>1913681</v>
      </c>
      <c r="I13">
        <v>1636</v>
      </c>
      <c r="J13" s="1">
        <f t="shared" si="0"/>
        <v>771592.70000000019</v>
      </c>
    </row>
    <row r="14" spans="1:10" x14ac:dyDescent="0.3">
      <c r="A14" t="s">
        <v>39</v>
      </c>
      <c r="B14" t="s">
        <v>40</v>
      </c>
      <c r="C14" t="s">
        <v>30</v>
      </c>
      <c r="D14">
        <v>216</v>
      </c>
      <c r="E14">
        <v>13</v>
      </c>
      <c r="F14">
        <v>203</v>
      </c>
      <c r="G14" s="1">
        <v>7137092.25</v>
      </c>
      <c r="H14" s="1">
        <v>5944246</v>
      </c>
      <c r="I14">
        <v>2252</v>
      </c>
      <c r="J14" s="1">
        <f t="shared" si="0"/>
        <v>1190594.25</v>
      </c>
    </row>
    <row r="15" spans="1:10" x14ac:dyDescent="0.3">
      <c r="A15" t="s">
        <v>41</v>
      </c>
      <c r="B15" t="s">
        <v>42</v>
      </c>
      <c r="C15" t="s">
        <v>15</v>
      </c>
      <c r="D15">
        <v>204</v>
      </c>
      <c r="E15">
        <v>4</v>
      </c>
      <c r="F15">
        <v>200</v>
      </c>
      <c r="G15" s="1">
        <v>778189.5</v>
      </c>
      <c r="H15" s="1">
        <v>613000</v>
      </c>
      <c r="I15">
        <v>355</v>
      </c>
      <c r="J15" s="1">
        <f t="shared" si="0"/>
        <v>164834.5</v>
      </c>
    </row>
    <row r="16" spans="1:10" x14ac:dyDescent="0.3">
      <c r="A16" t="s">
        <v>43</v>
      </c>
      <c r="B16" t="s">
        <v>44</v>
      </c>
      <c r="C16" t="s">
        <v>18</v>
      </c>
      <c r="D16">
        <v>272</v>
      </c>
      <c r="E16">
        <v>15</v>
      </c>
      <c r="F16">
        <v>257</v>
      </c>
      <c r="G16" s="1">
        <v>451902.1</v>
      </c>
      <c r="H16" s="1">
        <v>348235</v>
      </c>
      <c r="I16">
        <v>2319</v>
      </c>
      <c r="J16" s="1">
        <f t="shared" si="0"/>
        <v>101348.09999999998</v>
      </c>
    </row>
    <row r="17" spans="1:10" x14ac:dyDescent="0.3">
      <c r="A17" t="s">
        <v>45</v>
      </c>
      <c r="B17" t="s">
        <v>46</v>
      </c>
      <c r="C17" t="s">
        <v>27</v>
      </c>
      <c r="D17">
        <v>179</v>
      </c>
      <c r="E17">
        <v>10</v>
      </c>
      <c r="F17">
        <v>169</v>
      </c>
      <c r="G17" s="1">
        <v>2755836</v>
      </c>
      <c r="H17" s="1">
        <v>2383238</v>
      </c>
      <c r="I17">
        <v>2397</v>
      </c>
      <c r="J17" s="1">
        <f t="shared" si="0"/>
        <v>370201</v>
      </c>
    </row>
    <row r="18" spans="1:10" x14ac:dyDescent="0.3">
      <c r="A18" t="s">
        <v>47</v>
      </c>
      <c r="B18" t="s">
        <v>48</v>
      </c>
      <c r="C18" t="s">
        <v>30</v>
      </c>
      <c r="D18">
        <v>223</v>
      </c>
      <c r="E18">
        <v>7</v>
      </c>
      <c r="F18">
        <v>216</v>
      </c>
      <c r="G18" s="1">
        <v>8789455</v>
      </c>
      <c r="H18" s="1">
        <v>7633440</v>
      </c>
      <c r="I18">
        <v>1048</v>
      </c>
      <c r="J18" s="1">
        <f t="shared" si="0"/>
        <v>1154967</v>
      </c>
    </row>
    <row r="19" spans="1:10" x14ac:dyDescent="0.3">
      <c r="A19" t="s">
        <v>49</v>
      </c>
      <c r="B19" t="s">
        <v>50</v>
      </c>
      <c r="C19" t="s">
        <v>15</v>
      </c>
      <c r="D19">
        <v>186</v>
      </c>
      <c r="E19">
        <v>13</v>
      </c>
      <c r="F19">
        <v>173</v>
      </c>
      <c r="G19" s="1">
        <v>206325.6</v>
      </c>
      <c r="H19" s="1">
        <v>166080</v>
      </c>
      <c r="I19">
        <v>2529</v>
      </c>
      <c r="J19" s="1">
        <f t="shared" si="0"/>
        <v>37716.600000000006</v>
      </c>
    </row>
    <row r="20" spans="1:10" x14ac:dyDescent="0.3">
      <c r="A20" t="s">
        <v>51</v>
      </c>
      <c r="B20" t="s">
        <v>52</v>
      </c>
      <c r="C20" t="s">
        <v>53</v>
      </c>
      <c r="D20">
        <v>204</v>
      </c>
      <c r="E20">
        <v>0</v>
      </c>
      <c r="F20">
        <v>204</v>
      </c>
      <c r="G20" s="1">
        <v>1288445.6000000001</v>
      </c>
      <c r="H20" s="1">
        <v>1070388</v>
      </c>
      <c r="I20">
        <v>0</v>
      </c>
      <c r="J20" s="1">
        <f t="shared" si="0"/>
        <v>218057.60000000009</v>
      </c>
    </row>
    <row r="21" spans="1:10" x14ac:dyDescent="0.3">
      <c r="A21" t="s">
        <v>54</v>
      </c>
      <c r="B21" t="s">
        <v>55</v>
      </c>
      <c r="C21" t="s">
        <v>27</v>
      </c>
      <c r="D21">
        <v>151</v>
      </c>
      <c r="E21">
        <v>4</v>
      </c>
      <c r="F21">
        <v>147</v>
      </c>
      <c r="G21" s="1">
        <v>866783.6</v>
      </c>
      <c r="H21" s="1">
        <v>687960</v>
      </c>
      <c r="I21">
        <v>1080</v>
      </c>
      <c r="J21" s="1">
        <f t="shared" si="0"/>
        <v>177743.59999999998</v>
      </c>
    </row>
    <row r="22" spans="1:10" x14ac:dyDescent="0.3">
      <c r="A22" t="s">
        <v>56</v>
      </c>
      <c r="B22" t="s">
        <v>57</v>
      </c>
      <c r="C22" t="s">
        <v>12</v>
      </c>
      <c r="D22">
        <v>192</v>
      </c>
      <c r="E22">
        <v>6</v>
      </c>
      <c r="F22">
        <v>186</v>
      </c>
      <c r="G22" s="1">
        <v>128122.8</v>
      </c>
      <c r="H22" s="1">
        <v>116064</v>
      </c>
      <c r="I22">
        <v>1650</v>
      </c>
      <c r="J22" s="1">
        <f t="shared" si="0"/>
        <v>10408.800000000003</v>
      </c>
    </row>
    <row r="23" spans="1:10" x14ac:dyDescent="0.3">
      <c r="A23" t="s">
        <v>58</v>
      </c>
      <c r="B23" t="s">
        <v>59</v>
      </c>
      <c r="C23" t="s">
        <v>30</v>
      </c>
      <c r="D23">
        <v>198</v>
      </c>
      <c r="E23">
        <v>6</v>
      </c>
      <c r="F23">
        <v>192</v>
      </c>
      <c r="G23" s="1">
        <v>3399890.4</v>
      </c>
      <c r="H23" s="1">
        <v>2893440</v>
      </c>
      <c r="I23">
        <v>1103</v>
      </c>
      <c r="J23" s="1">
        <f t="shared" si="0"/>
        <v>505347.39999999991</v>
      </c>
    </row>
    <row r="24" spans="1:10" x14ac:dyDescent="0.3">
      <c r="A24" t="s">
        <v>60</v>
      </c>
      <c r="B24" t="s">
        <v>61</v>
      </c>
      <c r="C24" t="s">
        <v>27</v>
      </c>
      <c r="D24">
        <v>229</v>
      </c>
      <c r="E24">
        <v>7</v>
      </c>
      <c r="F24">
        <v>222</v>
      </c>
      <c r="G24" s="1">
        <v>1981586.1</v>
      </c>
      <c r="H24" s="1">
        <v>1801308</v>
      </c>
      <c r="I24">
        <v>2144</v>
      </c>
      <c r="J24" s="1">
        <f t="shared" si="0"/>
        <v>178134.10000000009</v>
      </c>
    </row>
    <row r="25" spans="1:10" x14ac:dyDescent="0.3">
      <c r="A25" t="s">
        <v>62</v>
      </c>
      <c r="B25" t="s">
        <v>63</v>
      </c>
      <c r="C25" t="s">
        <v>53</v>
      </c>
      <c r="D25">
        <v>184</v>
      </c>
      <c r="E25">
        <v>6</v>
      </c>
      <c r="F25">
        <v>178</v>
      </c>
      <c r="G25" s="1">
        <v>1048287.5</v>
      </c>
      <c r="H25" s="1">
        <v>956928</v>
      </c>
      <c r="I25">
        <v>1529</v>
      </c>
      <c r="J25" s="1">
        <f t="shared" si="0"/>
        <v>89830.5</v>
      </c>
    </row>
    <row r="26" spans="1:10" x14ac:dyDescent="0.3">
      <c r="A26" t="s">
        <v>64</v>
      </c>
      <c r="B26" t="s">
        <v>65</v>
      </c>
      <c r="C26" t="s">
        <v>12</v>
      </c>
      <c r="D26">
        <v>184</v>
      </c>
      <c r="E26">
        <v>8</v>
      </c>
      <c r="F26">
        <v>176</v>
      </c>
      <c r="G26" s="1">
        <v>165201</v>
      </c>
      <c r="H26" s="1">
        <v>145904</v>
      </c>
      <c r="I26">
        <v>548</v>
      </c>
      <c r="J26" s="1">
        <f t="shared" si="0"/>
        <v>18749</v>
      </c>
    </row>
    <row r="27" spans="1:10" x14ac:dyDescent="0.3">
      <c r="A27" t="s">
        <v>66</v>
      </c>
      <c r="B27" t="s">
        <v>67</v>
      </c>
      <c r="C27" t="s">
        <v>18</v>
      </c>
      <c r="D27">
        <v>209</v>
      </c>
      <c r="E27">
        <v>5</v>
      </c>
      <c r="F27">
        <v>204</v>
      </c>
      <c r="G27" s="1">
        <v>157079</v>
      </c>
      <c r="H27" s="1">
        <v>120564</v>
      </c>
      <c r="I27">
        <v>1528</v>
      </c>
      <c r="J27" s="1">
        <f t="shared" si="0"/>
        <v>34987</v>
      </c>
    </row>
    <row r="28" spans="1:10" x14ac:dyDescent="0.3">
      <c r="A28" t="s">
        <v>68</v>
      </c>
      <c r="B28" t="s">
        <v>69</v>
      </c>
      <c r="C28" t="s">
        <v>15</v>
      </c>
      <c r="D28">
        <v>185</v>
      </c>
      <c r="E28">
        <v>4</v>
      </c>
      <c r="F28">
        <v>181</v>
      </c>
      <c r="G28" s="1">
        <v>678296.3</v>
      </c>
      <c r="H28" s="1">
        <v>560738</v>
      </c>
      <c r="I28">
        <v>721</v>
      </c>
      <c r="J28" s="1">
        <f t="shared" si="0"/>
        <v>116837.30000000005</v>
      </c>
    </row>
    <row r="29" spans="1:10" x14ac:dyDescent="0.3">
      <c r="A29" t="s">
        <v>70</v>
      </c>
      <c r="B29" t="s">
        <v>71</v>
      </c>
      <c r="C29" t="s">
        <v>27</v>
      </c>
      <c r="D29">
        <v>214</v>
      </c>
      <c r="E29">
        <v>8</v>
      </c>
      <c r="F29">
        <v>206</v>
      </c>
      <c r="G29" s="1">
        <v>1431978.8</v>
      </c>
      <c r="H29" s="1">
        <v>1019700</v>
      </c>
      <c r="I29">
        <v>1946</v>
      </c>
      <c r="J29" s="1">
        <f t="shared" si="0"/>
        <v>410332.80000000005</v>
      </c>
    </row>
    <row r="30" spans="1:10" x14ac:dyDescent="0.3">
      <c r="A30" t="s">
        <v>72</v>
      </c>
      <c r="B30" t="s">
        <v>73</v>
      </c>
      <c r="C30" t="s">
        <v>12</v>
      </c>
      <c r="D30">
        <v>226</v>
      </c>
      <c r="E30">
        <v>8</v>
      </c>
      <c r="F30">
        <v>218</v>
      </c>
      <c r="G30" s="1">
        <v>239336.85</v>
      </c>
      <c r="H30" s="1">
        <v>196636</v>
      </c>
      <c r="I30">
        <v>1375</v>
      </c>
      <c r="J30" s="1">
        <f t="shared" si="0"/>
        <v>41325.850000000006</v>
      </c>
    </row>
    <row r="31" spans="1:10" x14ac:dyDescent="0.3">
      <c r="A31" t="s">
        <v>74</v>
      </c>
      <c r="B31" t="s">
        <v>75</v>
      </c>
      <c r="C31" t="s">
        <v>27</v>
      </c>
      <c r="D31">
        <v>170</v>
      </c>
      <c r="E31">
        <v>5</v>
      </c>
      <c r="F31">
        <v>165</v>
      </c>
      <c r="G31" s="1">
        <v>2908405</v>
      </c>
      <c r="H31" s="1">
        <v>2316765</v>
      </c>
      <c r="I31">
        <v>446</v>
      </c>
      <c r="J31" s="1">
        <f t="shared" si="0"/>
        <v>591194</v>
      </c>
    </row>
    <row r="32" spans="1:10" x14ac:dyDescent="0.3">
      <c r="A32" t="s">
        <v>76</v>
      </c>
      <c r="B32" t="s">
        <v>77</v>
      </c>
      <c r="C32" t="s">
        <v>12</v>
      </c>
      <c r="D32">
        <v>190</v>
      </c>
      <c r="E32">
        <v>6</v>
      </c>
      <c r="F32">
        <v>184</v>
      </c>
      <c r="G32" s="1">
        <v>381319.2</v>
      </c>
      <c r="H32" s="1">
        <v>318872</v>
      </c>
      <c r="I32">
        <v>1706</v>
      </c>
      <c r="J32" s="1">
        <f t="shared" si="0"/>
        <v>60741.200000000012</v>
      </c>
    </row>
    <row r="33" spans="1:10" x14ac:dyDescent="0.3">
      <c r="A33" t="s">
        <v>78</v>
      </c>
      <c r="B33" t="s">
        <v>79</v>
      </c>
      <c r="C33" t="s">
        <v>53</v>
      </c>
      <c r="D33">
        <v>230</v>
      </c>
      <c r="E33">
        <v>5</v>
      </c>
      <c r="F33">
        <v>225</v>
      </c>
      <c r="G33" s="1">
        <v>1920643.15</v>
      </c>
      <c r="H33" s="1">
        <v>1474200</v>
      </c>
      <c r="I33">
        <v>828</v>
      </c>
      <c r="J33" s="1">
        <f t="shared" si="0"/>
        <v>445615.14999999991</v>
      </c>
    </row>
    <row r="34" spans="1:10" x14ac:dyDescent="0.3">
      <c r="A34" t="s">
        <v>80</v>
      </c>
      <c r="B34" t="s">
        <v>81</v>
      </c>
      <c r="C34" t="s">
        <v>30</v>
      </c>
      <c r="D34">
        <v>179</v>
      </c>
      <c r="E34">
        <v>6</v>
      </c>
      <c r="F34">
        <v>173</v>
      </c>
      <c r="G34" s="1">
        <v>4248358.4000000004</v>
      </c>
      <c r="H34" s="1">
        <v>3699259</v>
      </c>
      <c r="I34">
        <v>1208</v>
      </c>
      <c r="J34" s="1">
        <f t="shared" si="0"/>
        <v>547891.40000000037</v>
      </c>
    </row>
    <row r="35" spans="1:10" x14ac:dyDescent="0.3">
      <c r="A35" t="s">
        <v>82</v>
      </c>
      <c r="B35" t="s">
        <v>83</v>
      </c>
      <c r="C35" t="s">
        <v>30</v>
      </c>
      <c r="D35">
        <v>171</v>
      </c>
      <c r="E35">
        <v>0</v>
      </c>
      <c r="F35">
        <v>171</v>
      </c>
      <c r="G35" s="1">
        <v>7697026.7000000002</v>
      </c>
      <c r="H35" s="1">
        <v>5768514</v>
      </c>
      <c r="I35">
        <v>0</v>
      </c>
      <c r="J35" s="1">
        <f t="shared" si="0"/>
        <v>1928512.7000000002</v>
      </c>
    </row>
    <row r="36" spans="1:10" x14ac:dyDescent="0.3">
      <c r="A36" t="s">
        <v>84</v>
      </c>
      <c r="B36" t="s">
        <v>85</v>
      </c>
      <c r="C36" t="s">
        <v>15</v>
      </c>
      <c r="D36">
        <v>207</v>
      </c>
      <c r="E36">
        <v>11</v>
      </c>
      <c r="F36">
        <v>196</v>
      </c>
      <c r="G36" s="1">
        <v>565869</v>
      </c>
      <c r="H36" s="1">
        <v>474320</v>
      </c>
      <c r="I36">
        <v>2401</v>
      </c>
      <c r="J36" s="1">
        <f t="shared" si="0"/>
        <v>89148</v>
      </c>
    </row>
    <row r="37" spans="1:10" x14ac:dyDescent="0.3">
      <c r="A37" t="s">
        <v>86</v>
      </c>
      <c r="B37" t="s">
        <v>87</v>
      </c>
      <c r="C37" t="s">
        <v>53</v>
      </c>
      <c r="D37">
        <v>221</v>
      </c>
      <c r="E37">
        <v>12</v>
      </c>
      <c r="F37">
        <v>209</v>
      </c>
      <c r="G37" s="1">
        <v>317830.8</v>
      </c>
      <c r="H37" s="1">
        <v>242440</v>
      </c>
      <c r="I37">
        <v>1833</v>
      </c>
      <c r="J37" s="1">
        <f t="shared" si="0"/>
        <v>73557.799999999988</v>
      </c>
    </row>
    <row r="38" spans="1:10" x14ac:dyDescent="0.3">
      <c r="A38" t="s">
        <v>88</v>
      </c>
      <c r="B38" t="s">
        <v>89</v>
      </c>
      <c r="C38" t="s">
        <v>30</v>
      </c>
      <c r="D38">
        <v>263</v>
      </c>
      <c r="E38">
        <v>8</v>
      </c>
      <c r="F38">
        <v>255</v>
      </c>
      <c r="G38" s="1">
        <v>3065512.5</v>
      </c>
      <c r="H38" s="1">
        <v>2674695</v>
      </c>
      <c r="I38">
        <v>1817</v>
      </c>
      <c r="J38" s="1">
        <f t="shared" si="0"/>
        <v>389000.5</v>
      </c>
    </row>
    <row r="39" spans="1:10" x14ac:dyDescent="0.3">
      <c r="A39" t="s">
        <v>90</v>
      </c>
      <c r="B39" t="s">
        <v>91</v>
      </c>
      <c r="C39" t="s">
        <v>18</v>
      </c>
      <c r="D39">
        <v>193</v>
      </c>
      <c r="E39">
        <v>4</v>
      </c>
      <c r="F39">
        <v>189</v>
      </c>
      <c r="G39" s="1">
        <v>1311815.3999999999</v>
      </c>
      <c r="H39" s="1">
        <v>982044</v>
      </c>
      <c r="I39">
        <v>911</v>
      </c>
      <c r="J39" s="1">
        <f t="shared" si="0"/>
        <v>328860.39999999991</v>
      </c>
    </row>
    <row r="40" spans="1:10" x14ac:dyDescent="0.3">
      <c r="A40" t="s">
        <v>92</v>
      </c>
      <c r="B40" t="s">
        <v>93</v>
      </c>
      <c r="C40" t="s">
        <v>27</v>
      </c>
      <c r="D40">
        <v>203</v>
      </c>
      <c r="E40">
        <v>14</v>
      </c>
      <c r="F40">
        <v>189</v>
      </c>
      <c r="G40" s="1">
        <v>1338382.5</v>
      </c>
      <c r="H40" s="1">
        <v>1189944</v>
      </c>
      <c r="I40">
        <v>1352</v>
      </c>
      <c r="J40" s="1">
        <f t="shared" si="0"/>
        <v>147086.5</v>
      </c>
    </row>
    <row r="41" spans="1:10" x14ac:dyDescent="0.3">
      <c r="A41" t="s">
        <v>94</v>
      </c>
      <c r="B41" t="s">
        <v>95</v>
      </c>
      <c r="C41" t="s">
        <v>15</v>
      </c>
      <c r="D41">
        <v>205</v>
      </c>
      <c r="E41">
        <v>11</v>
      </c>
      <c r="F41">
        <v>194</v>
      </c>
      <c r="G41" s="1">
        <v>349490.4</v>
      </c>
      <c r="H41" s="1">
        <v>250648</v>
      </c>
      <c r="I41">
        <v>2100</v>
      </c>
      <c r="J41" s="1">
        <f t="shared" si="0"/>
        <v>96742.400000000023</v>
      </c>
    </row>
    <row r="42" spans="1:10" x14ac:dyDescent="0.3">
      <c r="A42" t="s">
        <v>96</v>
      </c>
      <c r="B42" t="s">
        <v>97</v>
      </c>
      <c r="C42" t="s">
        <v>53</v>
      </c>
      <c r="D42">
        <v>213</v>
      </c>
      <c r="E42">
        <v>3</v>
      </c>
      <c r="F42">
        <v>210</v>
      </c>
      <c r="G42" s="1">
        <v>680316</v>
      </c>
      <c r="H42" s="1">
        <v>515550</v>
      </c>
      <c r="I42">
        <v>1031</v>
      </c>
      <c r="J42" s="1">
        <f t="shared" si="0"/>
        <v>163735</v>
      </c>
    </row>
    <row r="43" spans="1:10" x14ac:dyDescent="0.3">
      <c r="A43" t="s">
        <v>98</v>
      </c>
      <c r="B43" t="s">
        <v>99</v>
      </c>
      <c r="C43" t="s">
        <v>15</v>
      </c>
      <c r="D43">
        <v>176</v>
      </c>
      <c r="E43">
        <v>8</v>
      </c>
      <c r="F43">
        <v>168</v>
      </c>
      <c r="G43" s="1">
        <v>653036.80000000005</v>
      </c>
      <c r="H43" s="1">
        <v>581280</v>
      </c>
      <c r="I43">
        <v>1879</v>
      </c>
      <c r="J43" s="1">
        <f t="shared" si="0"/>
        <v>69877.800000000047</v>
      </c>
    </row>
    <row r="44" spans="1:10" x14ac:dyDescent="0.3">
      <c r="A44" t="s">
        <v>100</v>
      </c>
      <c r="B44" t="s">
        <v>101</v>
      </c>
      <c r="C44" t="s">
        <v>27</v>
      </c>
      <c r="D44">
        <v>162</v>
      </c>
      <c r="E44">
        <v>4</v>
      </c>
      <c r="F44">
        <v>158</v>
      </c>
      <c r="G44" s="1">
        <v>2288212.6</v>
      </c>
      <c r="H44" s="1">
        <v>1936764</v>
      </c>
      <c r="I44">
        <v>413</v>
      </c>
      <c r="J44" s="1">
        <f t="shared" si="0"/>
        <v>351035.60000000009</v>
      </c>
    </row>
    <row r="45" spans="1:10" x14ac:dyDescent="0.3">
      <c r="A45" t="s">
        <v>102</v>
      </c>
      <c r="B45" t="s">
        <v>103</v>
      </c>
      <c r="C45" t="s">
        <v>15</v>
      </c>
      <c r="D45">
        <v>211</v>
      </c>
      <c r="E45">
        <v>2</v>
      </c>
      <c r="F45">
        <v>209</v>
      </c>
      <c r="G45" s="1">
        <v>214603.7</v>
      </c>
      <c r="H45" s="1">
        <v>166991</v>
      </c>
      <c r="I45">
        <v>800</v>
      </c>
      <c r="J45" s="1">
        <f t="shared" si="0"/>
        <v>46812.700000000012</v>
      </c>
    </row>
    <row r="46" spans="1:10" x14ac:dyDescent="0.3">
      <c r="A46" t="s">
        <v>104</v>
      </c>
      <c r="B46" t="s">
        <v>105</v>
      </c>
      <c r="C46" t="s">
        <v>18</v>
      </c>
      <c r="D46">
        <v>184</v>
      </c>
      <c r="E46">
        <v>3</v>
      </c>
      <c r="F46">
        <v>181</v>
      </c>
      <c r="G46" s="1">
        <v>540126</v>
      </c>
      <c r="H46" s="1">
        <v>475668</v>
      </c>
      <c r="I46">
        <v>670</v>
      </c>
      <c r="J46" s="1">
        <f t="shared" si="0"/>
        <v>63788</v>
      </c>
    </row>
    <row r="47" spans="1:10" x14ac:dyDescent="0.3">
      <c r="A47" t="s">
        <v>106</v>
      </c>
      <c r="B47" t="s">
        <v>107</v>
      </c>
      <c r="C47" t="s">
        <v>30</v>
      </c>
      <c r="D47">
        <v>175</v>
      </c>
      <c r="E47">
        <v>6</v>
      </c>
      <c r="F47">
        <v>169</v>
      </c>
      <c r="G47" s="1">
        <v>8151982.7999999998</v>
      </c>
      <c r="H47" s="1">
        <v>6694259</v>
      </c>
      <c r="I47">
        <v>1595</v>
      </c>
      <c r="J47" s="1">
        <f t="shared" si="0"/>
        <v>1456128.7999999998</v>
      </c>
    </row>
    <row r="48" spans="1:10" x14ac:dyDescent="0.3">
      <c r="A48" t="s">
        <v>108</v>
      </c>
      <c r="B48" t="s">
        <v>109</v>
      </c>
      <c r="C48" t="s">
        <v>30</v>
      </c>
      <c r="D48">
        <v>200</v>
      </c>
      <c r="E48">
        <v>6</v>
      </c>
      <c r="F48">
        <v>194</v>
      </c>
      <c r="G48" s="1">
        <v>4331294.4000000004</v>
      </c>
      <c r="H48" s="1">
        <v>3337188</v>
      </c>
      <c r="I48">
        <v>1382</v>
      </c>
      <c r="J48" s="1">
        <f t="shared" si="0"/>
        <v>992724.40000000037</v>
      </c>
    </row>
    <row r="49" spans="1:10" x14ac:dyDescent="0.3">
      <c r="A49" t="s">
        <v>110</v>
      </c>
      <c r="B49" t="s">
        <v>111</v>
      </c>
      <c r="C49" t="s">
        <v>18</v>
      </c>
      <c r="D49">
        <v>214</v>
      </c>
      <c r="E49">
        <v>6</v>
      </c>
      <c r="F49">
        <v>208</v>
      </c>
      <c r="G49" s="1">
        <v>1473056.25</v>
      </c>
      <c r="H49" s="1">
        <v>1134224</v>
      </c>
      <c r="I49">
        <v>1192</v>
      </c>
      <c r="J49" s="1">
        <f t="shared" si="0"/>
        <v>337640.25</v>
      </c>
    </row>
    <row r="50" spans="1:10" x14ac:dyDescent="0.3">
      <c r="A50" t="s">
        <v>112</v>
      </c>
      <c r="B50" t="s">
        <v>113</v>
      </c>
      <c r="C50" t="s">
        <v>15</v>
      </c>
      <c r="D50">
        <v>199</v>
      </c>
      <c r="E50">
        <v>5</v>
      </c>
      <c r="F50">
        <v>194</v>
      </c>
      <c r="G50" s="1">
        <v>289188.90000000002</v>
      </c>
      <c r="H50" s="1">
        <v>205446</v>
      </c>
      <c r="I50">
        <v>841</v>
      </c>
      <c r="J50" s="1">
        <f t="shared" si="0"/>
        <v>82901.900000000023</v>
      </c>
    </row>
    <row r="51" spans="1:10" x14ac:dyDescent="0.3">
      <c r="A51" t="s">
        <v>114</v>
      </c>
      <c r="B51" t="s">
        <v>115</v>
      </c>
      <c r="C51" t="s">
        <v>27</v>
      </c>
      <c r="D51">
        <v>196</v>
      </c>
      <c r="E51">
        <v>2</v>
      </c>
      <c r="F51">
        <v>194</v>
      </c>
      <c r="G51" s="1">
        <v>1975640.4</v>
      </c>
      <c r="H51" s="1">
        <v>1413872</v>
      </c>
      <c r="I51">
        <v>440</v>
      </c>
      <c r="J51" s="1">
        <f t="shared" si="0"/>
        <v>561328.39999999991</v>
      </c>
    </row>
    <row r="52" spans="1:10" x14ac:dyDescent="0.3">
      <c r="A52" t="s">
        <v>116</v>
      </c>
      <c r="B52" t="s">
        <v>117</v>
      </c>
      <c r="C52" t="s">
        <v>53</v>
      </c>
      <c r="D52">
        <v>198</v>
      </c>
      <c r="E52">
        <v>8</v>
      </c>
      <c r="F52">
        <v>190</v>
      </c>
      <c r="G52" s="1">
        <v>556276.6</v>
      </c>
      <c r="H52" s="1">
        <v>491720</v>
      </c>
      <c r="I52">
        <v>1680</v>
      </c>
      <c r="J52" s="1">
        <f t="shared" si="0"/>
        <v>62876.599999999977</v>
      </c>
    </row>
    <row r="53" spans="1:10" x14ac:dyDescent="0.3">
      <c r="A53" t="s">
        <v>118</v>
      </c>
      <c r="B53" t="s">
        <v>119</v>
      </c>
      <c r="C53" t="s">
        <v>15</v>
      </c>
      <c r="D53">
        <v>193</v>
      </c>
      <c r="E53">
        <v>9</v>
      </c>
      <c r="F53">
        <v>184</v>
      </c>
      <c r="G53" s="1">
        <v>797553.4</v>
      </c>
      <c r="H53" s="1">
        <v>619344</v>
      </c>
      <c r="I53">
        <v>1450</v>
      </c>
      <c r="J53" s="1">
        <f t="shared" si="0"/>
        <v>176759.40000000002</v>
      </c>
    </row>
    <row r="54" spans="1:10" x14ac:dyDescent="0.3">
      <c r="A54" t="s">
        <v>120</v>
      </c>
      <c r="B54" t="s">
        <v>121</v>
      </c>
      <c r="C54" t="s">
        <v>27</v>
      </c>
      <c r="D54">
        <v>228</v>
      </c>
      <c r="E54">
        <v>9</v>
      </c>
      <c r="F54">
        <v>219</v>
      </c>
      <c r="G54" s="1">
        <v>1382477.55</v>
      </c>
      <c r="H54" s="1">
        <v>1230123</v>
      </c>
      <c r="I54">
        <v>2657</v>
      </c>
      <c r="J54" s="1">
        <f t="shared" si="0"/>
        <v>149697.55000000005</v>
      </c>
    </row>
    <row r="55" spans="1:10" x14ac:dyDescent="0.3">
      <c r="A55" t="s">
        <v>122</v>
      </c>
      <c r="B55" t="s">
        <v>123</v>
      </c>
      <c r="C55" t="s">
        <v>53</v>
      </c>
      <c r="D55">
        <v>203</v>
      </c>
      <c r="E55">
        <v>9</v>
      </c>
      <c r="F55">
        <v>194</v>
      </c>
      <c r="G55" s="1">
        <v>695150.9</v>
      </c>
      <c r="H55" s="1">
        <v>620800</v>
      </c>
      <c r="I55">
        <v>1600</v>
      </c>
      <c r="J55" s="1">
        <f t="shared" si="0"/>
        <v>72750.900000000023</v>
      </c>
    </row>
    <row r="56" spans="1:10" x14ac:dyDescent="0.3">
      <c r="A56" t="s">
        <v>124</v>
      </c>
      <c r="B56" t="s">
        <v>125</v>
      </c>
      <c r="C56" t="s">
        <v>15</v>
      </c>
      <c r="D56">
        <v>182</v>
      </c>
      <c r="E56">
        <v>3</v>
      </c>
      <c r="F56">
        <v>179</v>
      </c>
      <c r="G56" s="1">
        <v>398685.1</v>
      </c>
      <c r="H56" s="1">
        <v>310923</v>
      </c>
      <c r="I56">
        <v>836</v>
      </c>
      <c r="J56" s="1">
        <f t="shared" si="0"/>
        <v>86926.099999999977</v>
      </c>
    </row>
    <row r="57" spans="1:10" x14ac:dyDescent="0.3">
      <c r="A57" t="s">
        <v>126</v>
      </c>
      <c r="B57" t="s">
        <v>127</v>
      </c>
      <c r="C57" t="s">
        <v>15</v>
      </c>
      <c r="D57">
        <v>188</v>
      </c>
      <c r="E57">
        <v>13</v>
      </c>
      <c r="F57">
        <v>175</v>
      </c>
      <c r="G57" s="1">
        <v>175067.55</v>
      </c>
      <c r="H57" s="1">
        <v>136500</v>
      </c>
      <c r="I57">
        <v>1897</v>
      </c>
      <c r="J57" s="1">
        <f t="shared" si="0"/>
        <v>36670.549999999988</v>
      </c>
    </row>
    <row r="58" spans="1:10" x14ac:dyDescent="0.3">
      <c r="A58" t="s">
        <v>128</v>
      </c>
      <c r="B58" t="s">
        <v>129</v>
      </c>
      <c r="C58" t="s">
        <v>18</v>
      </c>
      <c r="D58">
        <v>162</v>
      </c>
      <c r="E58">
        <v>8</v>
      </c>
      <c r="F58">
        <v>154</v>
      </c>
      <c r="G58" s="1">
        <v>537355.9</v>
      </c>
      <c r="H58" s="1">
        <v>393470</v>
      </c>
      <c r="I58">
        <v>1143</v>
      </c>
      <c r="J58" s="1">
        <f t="shared" si="0"/>
        <v>142742.90000000002</v>
      </c>
    </row>
    <row r="59" spans="1:10" x14ac:dyDescent="0.3">
      <c r="A59" t="s">
        <v>130</v>
      </c>
      <c r="B59" t="s">
        <v>131</v>
      </c>
      <c r="C59" t="s">
        <v>30</v>
      </c>
      <c r="D59">
        <v>218</v>
      </c>
      <c r="E59">
        <v>7</v>
      </c>
      <c r="F59">
        <v>211</v>
      </c>
      <c r="G59" s="1">
        <v>3907593.6</v>
      </c>
      <c r="H59" s="1">
        <v>3426218</v>
      </c>
      <c r="I59">
        <v>1239</v>
      </c>
      <c r="J59" s="1">
        <f t="shared" si="0"/>
        <v>480136.60000000009</v>
      </c>
    </row>
    <row r="60" spans="1:10" x14ac:dyDescent="0.3">
      <c r="A60" t="s">
        <v>132</v>
      </c>
      <c r="B60" t="s">
        <v>133</v>
      </c>
      <c r="C60" t="s">
        <v>15</v>
      </c>
      <c r="D60">
        <v>198</v>
      </c>
      <c r="E60">
        <v>15</v>
      </c>
      <c r="F60">
        <v>183</v>
      </c>
      <c r="G60" s="1">
        <v>200134</v>
      </c>
      <c r="H60" s="1">
        <v>166347</v>
      </c>
      <c r="I60">
        <v>2281</v>
      </c>
      <c r="J60" s="1">
        <f t="shared" si="0"/>
        <v>31506</v>
      </c>
    </row>
    <row r="61" spans="1:10" x14ac:dyDescent="0.3">
      <c r="A61" t="s">
        <v>134</v>
      </c>
      <c r="B61" t="s">
        <v>135</v>
      </c>
      <c r="C61" t="s">
        <v>30</v>
      </c>
      <c r="D61">
        <v>248</v>
      </c>
      <c r="E61">
        <v>8</v>
      </c>
      <c r="F61">
        <v>240</v>
      </c>
      <c r="G61" s="1">
        <v>3914918.4</v>
      </c>
      <c r="H61" s="1">
        <v>3388320</v>
      </c>
      <c r="I61">
        <v>957</v>
      </c>
      <c r="J61" s="1">
        <f t="shared" si="0"/>
        <v>525641.39999999991</v>
      </c>
    </row>
    <row r="62" spans="1:10" x14ac:dyDescent="0.3">
      <c r="A62" t="s">
        <v>136</v>
      </c>
      <c r="B62" t="s">
        <v>137</v>
      </c>
      <c r="C62" t="s">
        <v>27</v>
      </c>
      <c r="D62">
        <v>220</v>
      </c>
      <c r="E62">
        <v>14</v>
      </c>
      <c r="F62">
        <v>206</v>
      </c>
      <c r="G62" s="1">
        <v>4505294.9000000004</v>
      </c>
      <c r="H62" s="1">
        <v>3521776</v>
      </c>
      <c r="I62">
        <v>1432</v>
      </c>
      <c r="J62" s="1">
        <f t="shared" si="0"/>
        <v>982086.90000000037</v>
      </c>
    </row>
    <row r="63" spans="1:10" x14ac:dyDescent="0.3">
      <c r="A63" t="s">
        <v>138</v>
      </c>
      <c r="B63" t="s">
        <v>139</v>
      </c>
      <c r="C63" t="s">
        <v>12</v>
      </c>
      <c r="D63">
        <v>181</v>
      </c>
      <c r="E63">
        <v>1</v>
      </c>
      <c r="F63">
        <v>180</v>
      </c>
      <c r="G63" s="1">
        <v>122568.6</v>
      </c>
      <c r="H63" s="1">
        <v>93420</v>
      </c>
      <c r="I63">
        <v>220</v>
      </c>
      <c r="J63" s="1">
        <f t="shared" si="0"/>
        <v>28928.600000000006</v>
      </c>
    </row>
    <row r="64" spans="1:10" x14ac:dyDescent="0.3">
      <c r="A64" t="s">
        <v>140</v>
      </c>
      <c r="B64" t="s">
        <v>141</v>
      </c>
      <c r="C64" t="s">
        <v>15</v>
      </c>
      <c r="D64">
        <v>248</v>
      </c>
      <c r="E64">
        <v>9</v>
      </c>
      <c r="F64">
        <v>239</v>
      </c>
      <c r="G64" s="1">
        <v>184986</v>
      </c>
      <c r="H64" s="1">
        <v>159174</v>
      </c>
      <c r="I64">
        <v>2197</v>
      </c>
      <c r="J64" s="1">
        <f t="shared" si="0"/>
        <v>23615</v>
      </c>
    </row>
    <row r="65" spans="1:10" x14ac:dyDescent="0.3">
      <c r="A65" t="s">
        <v>142</v>
      </c>
      <c r="B65" t="s">
        <v>143</v>
      </c>
      <c r="C65" t="s">
        <v>15</v>
      </c>
      <c r="D65">
        <v>199</v>
      </c>
      <c r="E65">
        <v>12</v>
      </c>
      <c r="F65">
        <v>187</v>
      </c>
      <c r="G65" s="1">
        <v>335334.25</v>
      </c>
      <c r="H65" s="1">
        <v>293777</v>
      </c>
      <c r="I65">
        <v>2294</v>
      </c>
      <c r="J65" s="1">
        <f t="shared" si="0"/>
        <v>39263.25</v>
      </c>
    </row>
    <row r="66" spans="1:10" x14ac:dyDescent="0.3">
      <c r="A66" t="s">
        <v>144</v>
      </c>
      <c r="B66" t="s">
        <v>145</v>
      </c>
      <c r="C66" t="s">
        <v>27</v>
      </c>
      <c r="D66">
        <v>174</v>
      </c>
      <c r="E66">
        <v>7</v>
      </c>
      <c r="F66">
        <v>167</v>
      </c>
      <c r="G66" s="1">
        <v>2274655.5</v>
      </c>
      <c r="H66" s="1">
        <v>1966926</v>
      </c>
      <c r="I66">
        <v>2073</v>
      </c>
      <c r="J66" s="1">
        <f t="shared" ref="J66:J101" si="1">G66-H66-I66</f>
        <v>305656.5</v>
      </c>
    </row>
    <row r="67" spans="1:10" x14ac:dyDescent="0.3">
      <c r="A67" t="s">
        <v>146</v>
      </c>
      <c r="B67" t="s">
        <v>147</v>
      </c>
      <c r="C67" t="s">
        <v>18</v>
      </c>
      <c r="D67">
        <v>199</v>
      </c>
      <c r="E67">
        <v>7</v>
      </c>
      <c r="F67">
        <v>192</v>
      </c>
      <c r="G67" s="1">
        <v>1285440.6000000001</v>
      </c>
      <c r="H67" s="1">
        <v>1101120</v>
      </c>
      <c r="I67">
        <v>1603</v>
      </c>
      <c r="J67" s="1">
        <f t="shared" si="1"/>
        <v>182717.60000000009</v>
      </c>
    </row>
    <row r="68" spans="1:10" x14ac:dyDescent="0.3">
      <c r="A68" t="s">
        <v>148</v>
      </c>
      <c r="B68" t="s">
        <v>149</v>
      </c>
      <c r="C68" t="s">
        <v>15</v>
      </c>
      <c r="D68">
        <v>212</v>
      </c>
      <c r="E68">
        <v>7</v>
      </c>
      <c r="F68">
        <v>205</v>
      </c>
      <c r="G68" s="1">
        <v>784050.75</v>
      </c>
      <c r="H68" s="1">
        <v>678550</v>
      </c>
      <c r="I68">
        <v>1862</v>
      </c>
      <c r="J68" s="1">
        <f t="shared" si="1"/>
        <v>103638.75</v>
      </c>
    </row>
    <row r="69" spans="1:10" x14ac:dyDescent="0.3">
      <c r="A69" t="s">
        <v>150</v>
      </c>
      <c r="B69" t="s">
        <v>151</v>
      </c>
      <c r="C69" t="s">
        <v>27</v>
      </c>
      <c r="D69">
        <v>204</v>
      </c>
      <c r="E69">
        <v>5</v>
      </c>
      <c r="F69">
        <v>199</v>
      </c>
      <c r="G69" s="1">
        <v>766199.25</v>
      </c>
      <c r="H69" s="1">
        <v>569339</v>
      </c>
      <c r="I69">
        <v>924</v>
      </c>
      <c r="J69" s="1">
        <f t="shared" si="1"/>
        <v>195936.25</v>
      </c>
    </row>
    <row r="70" spans="1:10" x14ac:dyDescent="0.3">
      <c r="A70" t="s">
        <v>152</v>
      </c>
      <c r="B70" t="s">
        <v>153</v>
      </c>
      <c r="C70" t="s">
        <v>53</v>
      </c>
      <c r="D70">
        <v>178</v>
      </c>
      <c r="E70">
        <v>9</v>
      </c>
      <c r="F70">
        <v>169</v>
      </c>
      <c r="G70" s="1">
        <v>534911</v>
      </c>
      <c r="H70" s="1">
        <v>438217</v>
      </c>
      <c r="I70">
        <v>1437</v>
      </c>
      <c r="J70" s="1">
        <f t="shared" si="1"/>
        <v>95257</v>
      </c>
    </row>
    <row r="71" spans="1:10" x14ac:dyDescent="0.3">
      <c r="A71" t="s">
        <v>154</v>
      </c>
      <c r="B71" t="s">
        <v>155</v>
      </c>
      <c r="C71" t="s">
        <v>12</v>
      </c>
      <c r="D71">
        <v>182</v>
      </c>
      <c r="E71">
        <v>11</v>
      </c>
      <c r="F71">
        <v>171</v>
      </c>
      <c r="G71" s="1">
        <v>132140.25</v>
      </c>
      <c r="H71" s="1">
        <v>109953</v>
      </c>
      <c r="I71">
        <v>1255</v>
      </c>
      <c r="J71" s="1">
        <f t="shared" si="1"/>
        <v>20932.25</v>
      </c>
    </row>
    <row r="72" spans="1:10" x14ac:dyDescent="0.3">
      <c r="A72" t="s">
        <v>156</v>
      </c>
      <c r="B72" t="s">
        <v>157</v>
      </c>
      <c r="C72" t="s">
        <v>15</v>
      </c>
      <c r="D72">
        <v>183</v>
      </c>
      <c r="E72">
        <v>4</v>
      </c>
      <c r="F72">
        <v>179</v>
      </c>
      <c r="G72" s="1">
        <v>762091</v>
      </c>
      <c r="H72" s="1">
        <v>562597</v>
      </c>
      <c r="I72">
        <v>840</v>
      </c>
      <c r="J72" s="1">
        <f t="shared" si="1"/>
        <v>198654</v>
      </c>
    </row>
    <row r="73" spans="1:10" x14ac:dyDescent="0.3">
      <c r="A73" t="s">
        <v>158</v>
      </c>
      <c r="B73" t="s">
        <v>159</v>
      </c>
      <c r="C73" t="s">
        <v>15</v>
      </c>
      <c r="D73">
        <v>219</v>
      </c>
      <c r="E73">
        <v>9</v>
      </c>
      <c r="F73">
        <v>210</v>
      </c>
      <c r="G73" s="1">
        <v>211344</v>
      </c>
      <c r="H73" s="1">
        <v>156240</v>
      </c>
      <c r="I73">
        <v>1947</v>
      </c>
      <c r="J73" s="1">
        <f t="shared" si="1"/>
        <v>53157</v>
      </c>
    </row>
    <row r="74" spans="1:10" x14ac:dyDescent="0.3">
      <c r="A74" t="s">
        <v>160</v>
      </c>
      <c r="B74" t="s">
        <v>161</v>
      </c>
      <c r="C74" t="s">
        <v>27</v>
      </c>
      <c r="D74">
        <v>220</v>
      </c>
      <c r="E74">
        <v>3</v>
      </c>
      <c r="F74">
        <v>217</v>
      </c>
      <c r="G74" s="1">
        <v>2189286</v>
      </c>
      <c r="H74" s="1">
        <v>1570646</v>
      </c>
      <c r="I74">
        <v>586</v>
      </c>
      <c r="J74" s="1">
        <f t="shared" si="1"/>
        <v>618054</v>
      </c>
    </row>
    <row r="75" spans="1:10" x14ac:dyDescent="0.3">
      <c r="A75" t="s">
        <v>162</v>
      </c>
      <c r="B75" t="s">
        <v>163</v>
      </c>
      <c r="C75" t="s">
        <v>12</v>
      </c>
      <c r="D75">
        <v>156</v>
      </c>
      <c r="E75">
        <v>4</v>
      </c>
      <c r="F75">
        <v>152</v>
      </c>
      <c r="G75" s="1">
        <v>237101.25</v>
      </c>
      <c r="H75" s="1">
        <v>206416</v>
      </c>
      <c r="I75">
        <v>794</v>
      </c>
      <c r="J75" s="1">
        <f t="shared" si="1"/>
        <v>29891.25</v>
      </c>
    </row>
    <row r="76" spans="1:10" x14ac:dyDescent="0.3">
      <c r="A76" t="s">
        <v>164</v>
      </c>
      <c r="B76" t="s">
        <v>165</v>
      </c>
      <c r="C76" t="s">
        <v>53</v>
      </c>
      <c r="D76">
        <v>231</v>
      </c>
      <c r="E76">
        <v>5</v>
      </c>
      <c r="F76">
        <v>226</v>
      </c>
      <c r="G76" s="1">
        <v>1024622.5</v>
      </c>
      <c r="H76" s="1">
        <v>876428</v>
      </c>
      <c r="I76">
        <v>1017</v>
      </c>
      <c r="J76" s="1">
        <f t="shared" si="1"/>
        <v>147177.5</v>
      </c>
    </row>
    <row r="77" spans="1:10" x14ac:dyDescent="0.3">
      <c r="A77" t="s">
        <v>166</v>
      </c>
      <c r="B77" t="s">
        <v>167</v>
      </c>
      <c r="C77" t="s">
        <v>27</v>
      </c>
      <c r="D77">
        <v>179</v>
      </c>
      <c r="E77">
        <v>3</v>
      </c>
      <c r="F77">
        <v>176</v>
      </c>
      <c r="G77" s="1">
        <v>628627</v>
      </c>
      <c r="H77" s="1">
        <v>552112</v>
      </c>
      <c r="I77">
        <v>828</v>
      </c>
      <c r="J77" s="1">
        <f t="shared" si="1"/>
        <v>75687</v>
      </c>
    </row>
    <row r="78" spans="1:10" x14ac:dyDescent="0.3">
      <c r="A78" t="s">
        <v>168</v>
      </c>
      <c r="B78" t="s">
        <v>169</v>
      </c>
      <c r="C78" t="s">
        <v>30</v>
      </c>
      <c r="D78">
        <v>241</v>
      </c>
      <c r="E78">
        <v>13</v>
      </c>
      <c r="F78">
        <v>228</v>
      </c>
      <c r="G78" s="1">
        <v>5795604</v>
      </c>
      <c r="H78" s="1">
        <v>4389456</v>
      </c>
      <c r="I78">
        <v>2846</v>
      </c>
      <c r="J78" s="1">
        <f t="shared" si="1"/>
        <v>1403302</v>
      </c>
    </row>
    <row r="79" spans="1:10" x14ac:dyDescent="0.3">
      <c r="A79" t="s">
        <v>170</v>
      </c>
      <c r="B79" t="s">
        <v>171</v>
      </c>
      <c r="C79" t="s">
        <v>18</v>
      </c>
      <c r="D79">
        <v>200</v>
      </c>
      <c r="E79">
        <v>10</v>
      </c>
      <c r="F79">
        <v>190</v>
      </c>
      <c r="G79" s="1">
        <v>1172978.3999999999</v>
      </c>
      <c r="H79" s="1">
        <v>1008710</v>
      </c>
      <c r="I79">
        <v>2131</v>
      </c>
      <c r="J79" s="1">
        <f t="shared" si="1"/>
        <v>162137.39999999991</v>
      </c>
    </row>
    <row r="80" spans="1:10" x14ac:dyDescent="0.3">
      <c r="A80" t="s">
        <v>172</v>
      </c>
      <c r="B80" t="s">
        <v>173</v>
      </c>
      <c r="C80" t="s">
        <v>15</v>
      </c>
      <c r="D80">
        <v>215</v>
      </c>
      <c r="E80">
        <v>6</v>
      </c>
      <c r="F80">
        <v>209</v>
      </c>
      <c r="G80" s="1">
        <v>501777</v>
      </c>
      <c r="H80" s="1">
        <v>415492</v>
      </c>
      <c r="I80">
        <v>1289</v>
      </c>
      <c r="J80" s="1">
        <f t="shared" si="1"/>
        <v>84996</v>
      </c>
    </row>
    <row r="81" spans="1:10" x14ac:dyDescent="0.3">
      <c r="A81" t="s">
        <v>174</v>
      </c>
      <c r="B81" t="s">
        <v>175</v>
      </c>
      <c r="C81" t="s">
        <v>30</v>
      </c>
      <c r="D81">
        <v>219</v>
      </c>
      <c r="E81">
        <v>8</v>
      </c>
      <c r="F81">
        <v>211</v>
      </c>
      <c r="G81" s="1">
        <v>7330428.5999999996</v>
      </c>
      <c r="H81" s="1">
        <v>5685817</v>
      </c>
      <c r="I81">
        <v>1690</v>
      </c>
      <c r="J81" s="1">
        <f t="shared" si="1"/>
        <v>1642921.5999999996</v>
      </c>
    </row>
    <row r="82" spans="1:10" x14ac:dyDescent="0.3">
      <c r="A82" t="s">
        <v>176</v>
      </c>
      <c r="B82" t="s">
        <v>177</v>
      </c>
      <c r="C82" t="s">
        <v>30</v>
      </c>
      <c r="D82">
        <v>217</v>
      </c>
      <c r="E82">
        <v>13</v>
      </c>
      <c r="F82">
        <v>204</v>
      </c>
      <c r="G82" s="1">
        <v>10022567</v>
      </c>
      <c r="H82" s="1">
        <v>8270160</v>
      </c>
      <c r="I82">
        <v>2615</v>
      </c>
      <c r="J82" s="1">
        <f t="shared" si="1"/>
        <v>1749792</v>
      </c>
    </row>
    <row r="83" spans="1:10" x14ac:dyDescent="0.3">
      <c r="A83" t="s">
        <v>178</v>
      </c>
      <c r="B83" t="s">
        <v>179</v>
      </c>
      <c r="C83" t="s">
        <v>12</v>
      </c>
      <c r="D83">
        <v>211</v>
      </c>
      <c r="E83">
        <v>6</v>
      </c>
      <c r="F83">
        <v>205</v>
      </c>
      <c r="G83" s="1">
        <v>449004</v>
      </c>
      <c r="H83" s="1">
        <v>327795</v>
      </c>
      <c r="I83">
        <v>1144</v>
      </c>
      <c r="J83" s="1">
        <f t="shared" si="1"/>
        <v>120065</v>
      </c>
    </row>
    <row r="84" spans="1:10" x14ac:dyDescent="0.3">
      <c r="A84" t="s">
        <v>180</v>
      </c>
      <c r="B84" t="s">
        <v>181</v>
      </c>
      <c r="C84" t="s">
        <v>15</v>
      </c>
      <c r="D84">
        <v>198</v>
      </c>
      <c r="E84">
        <v>12</v>
      </c>
      <c r="F84">
        <v>186</v>
      </c>
      <c r="G84" s="1">
        <v>772922.95</v>
      </c>
      <c r="H84" s="1">
        <v>603012</v>
      </c>
      <c r="I84">
        <v>2751</v>
      </c>
      <c r="J84" s="1">
        <f t="shared" si="1"/>
        <v>167159.94999999995</v>
      </c>
    </row>
    <row r="85" spans="1:10" x14ac:dyDescent="0.3">
      <c r="A85" t="s">
        <v>182</v>
      </c>
      <c r="B85" t="s">
        <v>183</v>
      </c>
      <c r="C85" t="s">
        <v>53</v>
      </c>
      <c r="D85">
        <v>194</v>
      </c>
      <c r="E85">
        <v>6</v>
      </c>
      <c r="F85">
        <v>188</v>
      </c>
      <c r="G85" s="1">
        <v>1202417.1499999999</v>
      </c>
      <c r="H85" s="1">
        <v>975720</v>
      </c>
      <c r="I85">
        <v>1100</v>
      </c>
      <c r="J85" s="1">
        <f t="shared" si="1"/>
        <v>225597.14999999991</v>
      </c>
    </row>
    <row r="86" spans="1:10" x14ac:dyDescent="0.3">
      <c r="A86" t="s">
        <v>184</v>
      </c>
      <c r="B86" t="s">
        <v>185</v>
      </c>
      <c r="C86" t="s">
        <v>53</v>
      </c>
      <c r="D86">
        <v>221</v>
      </c>
      <c r="E86">
        <v>10</v>
      </c>
      <c r="F86">
        <v>211</v>
      </c>
      <c r="G86" s="1">
        <v>347565.8</v>
      </c>
      <c r="H86" s="1">
        <v>262695</v>
      </c>
      <c r="I86">
        <v>2279</v>
      </c>
      <c r="J86" s="1">
        <f t="shared" si="1"/>
        <v>82591.799999999988</v>
      </c>
    </row>
    <row r="87" spans="1:10" x14ac:dyDescent="0.3">
      <c r="A87" t="s">
        <v>186</v>
      </c>
      <c r="B87" t="s">
        <v>187</v>
      </c>
      <c r="C87" t="s">
        <v>30</v>
      </c>
      <c r="D87">
        <v>192</v>
      </c>
      <c r="E87">
        <v>6</v>
      </c>
      <c r="F87">
        <v>186</v>
      </c>
      <c r="G87" s="1">
        <v>1181281.7</v>
      </c>
      <c r="H87" s="1">
        <v>1029138</v>
      </c>
      <c r="I87">
        <v>1235</v>
      </c>
      <c r="J87" s="1">
        <f t="shared" si="1"/>
        <v>150908.69999999995</v>
      </c>
    </row>
    <row r="88" spans="1:10" x14ac:dyDescent="0.3">
      <c r="A88" t="s">
        <v>188</v>
      </c>
      <c r="B88" t="s">
        <v>189</v>
      </c>
      <c r="C88" t="s">
        <v>27</v>
      </c>
      <c r="D88">
        <v>209</v>
      </c>
      <c r="E88">
        <v>7</v>
      </c>
      <c r="F88">
        <v>202</v>
      </c>
      <c r="G88" s="1">
        <v>2861287</v>
      </c>
      <c r="H88" s="1">
        <v>2559542</v>
      </c>
      <c r="I88">
        <v>1917</v>
      </c>
      <c r="J88" s="1">
        <f t="shared" si="1"/>
        <v>299828</v>
      </c>
    </row>
    <row r="89" spans="1:10" x14ac:dyDescent="0.3">
      <c r="A89" t="s">
        <v>190</v>
      </c>
      <c r="B89" t="s">
        <v>191</v>
      </c>
      <c r="C89" t="s">
        <v>12</v>
      </c>
      <c r="D89">
        <v>199</v>
      </c>
      <c r="E89">
        <v>3</v>
      </c>
      <c r="F89">
        <v>196</v>
      </c>
      <c r="G89" s="1">
        <v>60254.7</v>
      </c>
      <c r="H89" s="1">
        <v>52332</v>
      </c>
      <c r="I89">
        <v>717</v>
      </c>
      <c r="J89" s="1">
        <f t="shared" si="1"/>
        <v>7205.6999999999971</v>
      </c>
    </row>
    <row r="90" spans="1:10" x14ac:dyDescent="0.3">
      <c r="A90" t="s">
        <v>192</v>
      </c>
      <c r="B90" t="s">
        <v>193</v>
      </c>
      <c r="C90" t="s">
        <v>15</v>
      </c>
      <c r="D90">
        <v>217</v>
      </c>
      <c r="E90">
        <v>2</v>
      </c>
      <c r="F90">
        <v>215</v>
      </c>
      <c r="G90" s="1">
        <v>964707.3</v>
      </c>
      <c r="H90" s="1">
        <v>710575</v>
      </c>
      <c r="I90">
        <v>345</v>
      </c>
      <c r="J90" s="1">
        <f t="shared" si="1"/>
        <v>253787.30000000005</v>
      </c>
    </row>
    <row r="91" spans="1:10" x14ac:dyDescent="0.3">
      <c r="A91" t="s">
        <v>194</v>
      </c>
      <c r="B91" t="s">
        <v>195</v>
      </c>
      <c r="C91" t="s">
        <v>27</v>
      </c>
      <c r="D91">
        <v>215</v>
      </c>
      <c r="E91">
        <v>5</v>
      </c>
      <c r="F91">
        <v>210</v>
      </c>
      <c r="G91" s="1">
        <v>1860466.4</v>
      </c>
      <c r="H91" s="1">
        <v>1494780</v>
      </c>
      <c r="I91">
        <v>1533</v>
      </c>
      <c r="J91" s="1">
        <f t="shared" si="1"/>
        <v>364153.39999999991</v>
      </c>
    </row>
    <row r="92" spans="1:10" x14ac:dyDescent="0.3">
      <c r="A92" t="s">
        <v>196</v>
      </c>
      <c r="B92" t="s">
        <v>197</v>
      </c>
      <c r="C92" t="s">
        <v>53</v>
      </c>
      <c r="D92">
        <v>187</v>
      </c>
      <c r="E92">
        <v>8</v>
      </c>
      <c r="F92">
        <v>179</v>
      </c>
      <c r="G92" s="1">
        <v>991076.15</v>
      </c>
      <c r="H92" s="1">
        <v>884260</v>
      </c>
      <c r="I92">
        <v>2098</v>
      </c>
      <c r="J92" s="1">
        <f t="shared" si="1"/>
        <v>104718.15000000002</v>
      </c>
    </row>
    <row r="93" spans="1:10" x14ac:dyDescent="0.3">
      <c r="A93" t="s">
        <v>198</v>
      </c>
      <c r="B93" t="s">
        <v>199</v>
      </c>
      <c r="C93" t="s">
        <v>27</v>
      </c>
      <c r="D93">
        <v>191</v>
      </c>
      <c r="E93">
        <v>4</v>
      </c>
      <c r="F93">
        <v>187</v>
      </c>
      <c r="G93" s="1">
        <v>3693278</v>
      </c>
      <c r="H93" s="1">
        <v>3236970</v>
      </c>
      <c r="I93">
        <v>1195</v>
      </c>
      <c r="J93" s="1">
        <f t="shared" si="1"/>
        <v>455113</v>
      </c>
    </row>
    <row r="94" spans="1:10" x14ac:dyDescent="0.3">
      <c r="A94" t="s">
        <v>200</v>
      </c>
      <c r="B94" t="s">
        <v>201</v>
      </c>
      <c r="C94" t="s">
        <v>30</v>
      </c>
      <c r="D94">
        <v>182</v>
      </c>
      <c r="E94">
        <v>9</v>
      </c>
      <c r="F94">
        <v>173</v>
      </c>
      <c r="G94" s="1">
        <v>7652848.5</v>
      </c>
      <c r="H94" s="1">
        <v>6899586</v>
      </c>
      <c r="I94">
        <v>2204</v>
      </c>
      <c r="J94" s="1">
        <f t="shared" si="1"/>
        <v>751058.5</v>
      </c>
    </row>
    <row r="95" spans="1:10" x14ac:dyDescent="0.3">
      <c r="A95" t="s">
        <v>202</v>
      </c>
      <c r="B95" t="s">
        <v>203</v>
      </c>
      <c r="C95" t="s">
        <v>53</v>
      </c>
      <c r="D95">
        <v>220</v>
      </c>
      <c r="E95">
        <v>5</v>
      </c>
      <c r="F95">
        <v>215</v>
      </c>
      <c r="G95" s="1">
        <v>854196.6</v>
      </c>
      <c r="H95" s="1">
        <v>658545</v>
      </c>
      <c r="I95">
        <v>1010</v>
      </c>
      <c r="J95" s="1">
        <f t="shared" si="1"/>
        <v>194641.59999999998</v>
      </c>
    </row>
    <row r="96" spans="1:10" x14ac:dyDescent="0.3">
      <c r="A96" t="s">
        <v>204</v>
      </c>
      <c r="B96" t="s">
        <v>205</v>
      </c>
      <c r="C96" t="s">
        <v>18</v>
      </c>
      <c r="D96">
        <v>216</v>
      </c>
      <c r="E96">
        <v>10</v>
      </c>
      <c r="F96">
        <v>206</v>
      </c>
      <c r="G96" s="1">
        <v>208840</v>
      </c>
      <c r="H96" s="1">
        <v>155324</v>
      </c>
      <c r="I96">
        <v>2246</v>
      </c>
      <c r="J96" s="1">
        <f t="shared" si="1"/>
        <v>51270</v>
      </c>
    </row>
    <row r="97" spans="1:10" x14ac:dyDescent="0.3">
      <c r="A97" t="s">
        <v>206</v>
      </c>
      <c r="B97" t="s">
        <v>207</v>
      </c>
      <c r="C97" t="s">
        <v>15</v>
      </c>
      <c r="D97">
        <v>190</v>
      </c>
      <c r="E97">
        <v>10</v>
      </c>
      <c r="F97">
        <v>180</v>
      </c>
      <c r="G97" s="1">
        <v>330720</v>
      </c>
      <c r="H97" s="1">
        <v>273960</v>
      </c>
      <c r="I97">
        <v>2108</v>
      </c>
      <c r="J97" s="1">
        <f t="shared" si="1"/>
        <v>54652</v>
      </c>
    </row>
    <row r="98" spans="1:10" x14ac:dyDescent="0.3">
      <c r="A98" t="s">
        <v>208</v>
      </c>
      <c r="B98" t="s">
        <v>209</v>
      </c>
      <c r="C98" t="s">
        <v>30</v>
      </c>
      <c r="D98">
        <v>190</v>
      </c>
      <c r="E98">
        <v>9</v>
      </c>
      <c r="F98">
        <v>181</v>
      </c>
      <c r="G98" s="1">
        <v>1019018.7</v>
      </c>
      <c r="H98" s="1">
        <v>911154</v>
      </c>
      <c r="I98">
        <v>2120</v>
      </c>
      <c r="J98" s="1">
        <f t="shared" si="1"/>
        <v>105744.69999999995</v>
      </c>
    </row>
    <row r="99" spans="1:10" x14ac:dyDescent="0.3">
      <c r="A99" t="s">
        <v>210</v>
      </c>
      <c r="B99" t="s">
        <v>211</v>
      </c>
      <c r="C99" t="s">
        <v>27</v>
      </c>
      <c r="D99">
        <v>167</v>
      </c>
      <c r="E99">
        <v>5</v>
      </c>
      <c r="F99">
        <v>162</v>
      </c>
      <c r="G99" s="1">
        <v>2384943.65</v>
      </c>
      <c r="H99" s="1">
        <v>2186838</v>
      </c>
      <c r="I99">
        <v>639</v>
      </c>
      <c r="J99" s="1">
        <f t="shared" si="1"/>
        <v>197466.64999999991</v>
      </c>
    </row>
    <row r="100" spans="1:10" x14ac:dyDescent="0.3">
      <c r="A100" t="s">
        <v>212</v>
      </c>
      <c r="B100" t="s">
        <v>213</v>
      </c>
      <c r="C100" t="s">
        <v>30</v>
      </c>
      <c r="D100">
        <v>219</v>
      </c>
      <c r="E100">
        <v>15</v>
      </c>
      <c r="F100">
        <v>204</v>
      </c>
      <c r="G100" s="1">
        <v>6685407.4000000004</v>
      </c>
      <c r="H100" s="1">
        <v>5325828</v>
      </c>
      <c r="I100">
        <v>2443</v>
      </c>
      <c r="J100" s="1">
        <f t="shared" si="1"/>
        <v>1357136.4000000004</v>
      </c>
    </row>
    <row r="101" spans="1:10" x14ac:dyDescent="0.3">
      <c r="A101" t="s">
        <v>214</v>
      </c>
      <c r="B101" t="s">
        <v>215</v>
      </c>
      <c r="C101" t="s">
        <v>27</v>
      </c>
      <c r="D101">
        <v>218</v>
      </c>
      <c r="E101">
        <v>9</v>
      </c>
      <c r="F101">
        <v>209</v>
      </c>
      <c r="G101" s="1">
        <v>938405.1</v>
      </c>
      <c r="H101" s="1">
        <v>811338</v>
      </c>
      <c r="I101">
        <v>914</v>
      </c>
      <c r="J101" s="1">
        <f t="shared" si="1"/>
        <v>126153.09999999998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1"/>
  <sheetViews>
    <sheetView workbookViewId="0">
      <selection activeCell="C3" sqref="C3:C10"/>
    </sheetView>
  </sheetViews>
  <sheetFormatPr defaultRowHeight="14.4" x14ac:dyDescent="0.3"/>
  <cols>
    <col min="1" max="1" width="12.5546875" customWidth="1"/>
    <col min="2" max="2" width="15.77734375" customWidth="1"/>
    <col min="3" max="3" width="23.88671875" customWidth="1"/>
    <col min="4" max="4" width="14.77734375" customWidth="1"/>
    <col min="5" max="5" width="17.5546875" bestFit="1" customWidth="1"/>
  </cols>
  <sheetData>
    <row r="3" spans="1:5" x14ac:dyDescent="0.3">
      <c r="A3" s="3" t="s">
        <v>216</v>
      </c>
      <c r="B3" t="s">
        <v>217</v>
      </c>
      <c r="C3" t="s">
        <v>218</v>
      </c>
      <c r="D3" t="s">
        <v>219</v>
      </c>
      <c r="E3" t="s">
        <v>222</v>
      </c>
    </row>
    <row r="4" spans="1:5" x14ac:dyDescent="0.3">
      <c r="A4" s="2" t="s">
        <v>15</v>
      </c>
      <c r="B4" s="1">
        <v>12901973.650000002</v>
      </c>
      <c r="C4" s="6">
        <v>218</v>
      </c>
      <c r="D4" s="1">
        <v>2555495.6500000004</v>
      </c>
      <c r="E4" s="5">
        <v>4.1722488038277515E-2</v>
      </c>
    </row>
    <row r="5" spans="1:5" x14ac:dyDescent="0.3">
      <c r="A5" s="2" t="s">
        <v>27</v>
      </c>
      <c r="B5" s="1">
        <v>44303110.649999999</v>
      </c>
      <c r="C5" s="6">
        <v>143</v>
      </c>
      <c r="D5" s="1">
        <v>7970164.6500000004</v>
      </c>
      <c r="E5" s="5">
        <v>3.4457831325301204E-2</v>
      </c>
    </row>
    <row r="6" spans="1:5" x14ac:dyDescent="0.3">
      <c r="A6" s="2" t="s">
        <v>30</v>
      </c>
      <c r="B6" s="1">
        <v>102220453.95</v>
      </c>
      <c r="C6" s="6">
        <v>142</v>
      </c>
      <c r="D6" s="1">
        <v>17929067.949999999</v>
      </c>
      <c r="E6" s="5">
        <v>3.8151531434712518E-2</v>
      </c>
    </row>
    <row r="7" spans="1:5" x14ac:dyDescent="0.3">
      <c r="A7" s="2" t="s">
        <v>53</v>
      </c>
      <c r="B7" s="1">
        <v>11461739.75</v>
      </c>
      <c r="C7" s="6">
        <v>86</v>
      </c>
      <c r="D7" s="1">
        <v>1976406.75</v>
      </c>
      <c r="E7" s="5">
        <v>3.2041728763040241E-2</v>
      </c>
    </row>
    <row r="8" spans="1:5" x14ac:dyDescent="0.3">
      <c r="A8" s="2" t="s">
        <v>18</v>
      </c>
      <c r="B8" s="1">
        <v>9449639.6500000004</v>
      </c>
      <c r="C8" s="6">
        <v>78</v>
      </c>
      <c r="D8" s="1">
        <v>1951036.65</v>
      </c>
      <c r="E8" s="5">
        <v>3.4559149313247675E-2</v>
      </c>
    </row>
    <row r="9" spans="1:5" x14ac:dyDescent="0.3">
      <c r="A9" s="2" t="s">
        <v>12</v>
      </c>
      <c r="B9" s="1">
        <v>2287033.6000000006</v>
      </c>
      <c r="C9" s="6">
        <v>69</v>
      </c>
      <c r="D9" s="1">
        <v>421505.60000000003</v>
      </c>
      <c r="E9" s="5">
        <v>3.2288254562470753E-2</v>
      </c>
    </row>
    <row r="10" spans="1:5" x14ac:dyDescent="0.3">
      <c r="A10" s="2" t="s">
        <v>220</v>
      </c>
      <c r="B10" s="1">
        <v>182623951.25</v>
      </c>
      <c r="C10" s="6">
        <v>736</v>
      </c>
      <c r="D10" s="1">
        <v>32803677.25</v>
      </c>
      <c r="E10" s="5">
        <v>3.6480793060718712E-2</v>
      </c>
    </row>
    <row r="14" spans="1:5" x14ac:dyDescent="0.3">
      <c r="A14" s="3" t="s">
        <v>216</v>
      </c>
      <c r="B14" t="s">
        <v>217</v>
      </c>
    </row>
    <row r="15" spans="1:5" x14ac:dyDescent="0.3">
      <c r="A15" s="2" t="s">
        <v>30</v>
      </c>
      <c r="B15" s="1">
        <v>102220453.95</v>
      </c>
    </row>
    <row r="16" spans="1:5" x14ac:dyDescent="0.3">
      <c r="A16" s="2" t="s">
        <v>27</v>
      </c>
      <c r="B16" s="1">
        <v>44303110.649999999</v>
      </c>
    </row>
    <row r="17" spans="1:2" x14ac:dyDescent="0.3">
      <c r="A17" s="2" t="s">
        <v>15</v>
      </c>
      <c r="B17" s="1">
        <v>12901973.650000002</v>
      </c>
    </row>
    <row r="18" spans="1:2" x14ac:dyDescent="0.3">
      <c r="A18" s="2" t="s">
        <v>53</v>
      </c>
      <c r="B18" s="1">
        <v>11461739.75</v>
      </c>
    </row>
    <row r="19" spans="1:2" x14ac:dyDescent="0.3">
      <c r="A19" s="2" t="s">
        <v>18</v>
      </c>
      <c r="B19" s="1">
        <v>9449639.6500000004</v>
      </c>
    </row>
    <row r="20" spans="1:2" x14ac:dyDescent="0.3">
      <c r="A20" s="2" t="s">
        <v>12</v>
      </c>
      <c r="B20" s="1">
        <v>2287033.6000000006</v>
      </c>
    </row>
    <row r="21" spans="1:2" x14ac:dyDescent="0.3">
      <c r="A21" s="2" t="s">
        <v>220</v>
      </c>
      <c r="B21" s="1">
        <v>182623951.25</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4"/>
  <sheetViews>
    <sheetView workbookViewId="0">
      <selection activeCell="G14" sqref="G14"/>
    </sheetView>
  </sheetViews>
  <sheetFormatPr defaultRowHeight="14.4" x14ac:dyDescent="0.3"/>
  <cols>
    <col min="1" max="1" width="19.6640625" customWidth="1"/>
    <col min="2" max="2" width="14.77734375" bestFit="1" customWidth="1"/>
    <col min="3" max="3" width="15.77734375" bestFit="1" customWidth="1"/>
    <col min="4" max="4" width="19.6640625" bestFit="1" customWidth="1"/>
    <col min="5" max="5" width="23.88671875" bestFit="1" customWidth="1"/>
  </cols>
  <sheetData>
    <row r="3" spans="1:5" x14ac:dyDescent="0.3">
      <c r="A3" s="3" t="s">
        <v>216</v>
      </c>
      <c r="B3" t="s">
        <v>219</v>
      </c>
      <c r="C3" t="s">
        <v>217</v>
      </c>
      <c r="D3" t="s">
        <v>221</v>
      </c>
      <c r="E3" t="s">
        <v>218</v>
      </c>
    </row>
    <row r="4" spans="1:5" x14ac:dyDescent="0.3">
      <c r="A4" s="2" t="s">
        <v>83</v>
      </c>
      <c r="B4" s="1">
        <v>1928512.7000000002</v>
      </c>
      <c r="C4" s="1">
        <v>7697026.7000000002</v>
      </c>
      <c r="D4" s="4">
        <v>171</v>
      </c>
      <c r="E4" s="4">
        <v>0</v>
      </c>
    </row>
    <row r="5" spans="1:5" x14ac:dyDescent="0.3">
      <c r="A5" s="2" t="s">
        <v>177</v>
      </c>
      <c r="B5" s="1">
        <v>1749792</v>
      </c>
      <c r="C5" s="1">
        <v>10022567</v>
      </c>
      <c r="D5" s="4">
        <v>204</v>
      </c>
      <c r="E5" s="4">
        <v>13</v>
      </c>
    </row>
    <row r="6" spans="1:5" x14ac:dyDescent="0.3">
      <c r="A6" s="2" t="s">
        <v>175</v>
      </c>
      <c r="B6" s="1">
        <v>1642921.5999999996</v>
      </c>
      <c r="C6" s="1">
        <v>7330428.5999999996</v>
      </c>
      <c r="D6" s="4">
        <v>211</v>
      </c>
      <c r="E6" s="4">
        <v>8</v>
      </c>
    </row>
    <row r="7" spans="1:5" x14ac:dyDescent="0.3">
      <c r="A7" s="2" t="s">
        <v>29</v>
      </c>
      <c r="B7" s="1">
        <v>1597259.5999999996</v>
      </c>
      <c r="C7" s="1">
        <v>7890173.5999999996</v>
      </c>
      <c r="D7" s="4">
        <v>169</v>
      </c>
      <c r="E7" s="4">
        <v>2</v>
      </c>
    </row>
    <row r="8" spans="1:5" x14ac:dyDescent="0.3">
      <c r="A8" s="2" t="s">
        <v>107</v>
      </c>
      <c r="B8" s="1">
        <v>1456128.7999999998</v>
      </c>
      <c r="C8" s="1">
        <v>8151982.7999999998</v>
      </c>
      <c r="D8" s="4">
        <v>169</v>
      </c>
      <c r="E8" s="4">
        <v>6</v>
      </c>
    </row>
    <row r="9" spans="1:5" x14ac:dyDescent="0.3">
      <c r="A9" s="2" t="s">
        <v>169</v>
      </c>
      <c r="B9" s="1">
        <v>1403302</v>
      </c>
      <c r="C9" s="1">
        <v>5795604</v>
      </c>
      <c r="D9" s="4">
        <v>228</v>
      </c>
      <c r="E9" s="4">
        <v>13</v>
      </c>
    </row>
    <row r="10" spans="1:5" x14ac:dyDescent="0.3">
      <c r="A10" s="2" t="s">
        <v>213</v>
      </c>
      <c r="B10" s="1">
        <v>1357136.4000000004</v>
      </c>
      <c r="C10" s="1">
        <v>6685407.4000000004</v>
      </c>
      <c r="D10" s="4">
        <v>204</v>
      </c>
      <c r="E10" s="4">
        <v>15</v>
      </c>
    </row>
    <row r="11" spans="1:5" x14ac:dyDescent="0.3">
      <c r="A11" s="2" t="s">
        <v>40</v>
      </c>
      <c r="B11" s="1">
        <v>1190594.25</v>
      </c>
      <c r="C11" s="1">
        <v>7137092.25</v>
      </c>
      <c r="D11" s="4">
        <v>203</v>
      </c>
      <c r="E11" s="4">
        <v>13</v>
      </c>
    </row>
    <row r="12" spans="1:5" x14ac:dyDescent="0.3">
      <c r="A12" s="2" t="s">
        <v>48</v>
      </c>
      <c r="B12" s="1">
        <v>1154967</v>
      </c>
      <c r="C12" s="1">
        <v>8789455</v>
      </c>
      <c r="D12" s="4">
        <v>216</v>
      </c>
      <c r="E12" s="4">
        <v>7</v>
      </c>
    </row>
    <row r="13" spans="1:5" x14ac:dyDescent="0.3">
      <c r="A13" s="2" t="s">
        <v>109</v>
      </c>
      <c r="B13" s="1">
        <v>992724.40000000037</v>
      </c>
      <c r="C13" s="1">
        <v>4331294.4000000004</v>
      </c>
      <c r="D13" s="4">
        <v>194</v>
      </c>
      <c r="E13" s="4">
        <v>6</v>
      </c>
    </row>
    <row r="14" spans="1:5" x14ac:dyDescent="0.3">
      <c r="A14" s="2" t="s">
        <v>220</v>
      </c>
      <c r="B14" s="7">
        <v>14473338.75</v>
      </c>
      <c r="C14" s="1">
        <v>73831031.75</v>
      </c>
      <c r="D14" s="4">
        <v>1969</v>
      </c>
      <c r="E14" s="4">
        <v>83</v>
      </c>
    </row>
  </sheetData>
  <conditionalFormatting pivot="1" sqref="B4:B13">
    <cfRule type="dataBar" priority="1">
      <dataBar>
        <cfvo type="min"/>
        <cfvo type="max"/>
        <color rgb="FFFFB628"/>
      </dataBar>
      <extLst>
        <ext xmlns:x14="http://schemas.microsoft.com/office/spreadsheetml/2009/9/main" uri="{B025F937-C7B1-47D3-B67F-A62EFF666E3E}">
          <x14:id>{C762749D-24A2-48B9-8EEE-7685F33D2D07}</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C762749D-24A2-48B9-8EEE-7685F33D2D07}">
            <x14:dataBar minLength="0" maxLength="100" gradient="0">
              <x14:cfvo type="autoMin"/>
              <x14:cfvo type="autoMax"/>
              <x14:negativeFillColor rgb="FFFF0000"/>
              <x14:axisColor rgb="FF000000"/>
            </x14:dataBar>
          </x14:cfRule>
          <xm:sqref>B4:B13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abSelected="1" workbookViewId="0">
      <selection activeCell="E14" sqref="E14"/>
    </sheetView>
  </sheetViews>
  <sheetFormatPr defaultRowHeight="14.4" x14ac:dyDescent="0.3"/>
  <cols>
    <col min="1" max="1" width="32.5546875" customWidth="1"/>
    <col min="2" max="2" width="46.21875" customWidth="1"/>
  </cols>
  <sheetData>
    <row r="1" spans="1:7" x14ac:dyDescent="0.3">
      <c r="A1" s="9" t="s">
        <v>223</v>
      </c>
      <c r="B1" s="9" t="s">
        <v>224</v>
      </c>
    </row>
    <row r="2" spans="1:7" ht="31.2" x14ac:dyDescent="0.3">
      <c r="A2" s="8" t="s">
        <v>225</v>
      </c>
      <c r="B2" s="8" t="s">
        <v>226</v>
      </c>
    </row>
    <row r="3" spans="1:7" ht="46.8" x14ac:dyDescent="0.3">
      <c r="A3" s="8" t="s">
        <v>231</v>
      </c>
      <c r="B3" s="8" t="s">
        <v>227</v>
      </c>
    </row>
    <row r="4" spans="1:7" ht="31.2" x14ac:dyDescent="0.3">
      <c r="A4" s="8" t="s">
        <v>232</v>
      </c>
      <c r="B4" s="8" t="s">
        <v>228</v>
      </c>
    </row>
    <row r="5" spans="1:7" ht="31.2" x14ac:dyDescent="0.3">
      <c r="A5" s="8" t="s">
        <v>233</v>
      </c>
      <c r="B5" s="8" t="s">
        <v>229</v>
      </c>
    </row>
    <row r="8" spans="1:7" ht="78" x14ac:dyDescent="0.3">
      <c r="A8" s="11" t="s">
        <v>230</v>
      </c>
      <c r="B8" s="10"/>
      <c r="C8" s="10"/>
      <c r="D8" s="10"/>
      <c r="E8" s="10"/>
      <c r="F8" s="10"/>
      <c r="G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Product_Data</vt:lpstr>
      <vt:lpstr>Category_Summary</vt:lpstr>
      <vt:lpstr>Product_Performance</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mondal</dc:creator>
  <cp:lastModifiedBy>Ankit mondal</cp:lastModifiedBy>
  <dcterms:created xsi:type="dcterms:W3CDTF">2026-10-14T10:44:51Z</dcterms:created>
  <dcterms:modified xsi:type="dcterms:W3CDTF">2026-10-14T13:16:17Z</dcterms:modified>
</cp:coreProperties>
</file>